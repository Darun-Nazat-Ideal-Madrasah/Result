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630" activeTab="1"/>
  </bookViews>
  <sheets>
    <sheet name="Class-1" sheetId="1" r:id="rId1"/>
    <sheet name="Class-2" sheetId="2" r:id="rId2"/>
    <sheet name="Class-3" sheetId="3" r:id="rId3"/>
    <sheet name="Class-4" sheetId="4" r:id="rId4"/>
    <sheet name="Class-5" sheetId="5" r:id="rId5"/>
    <sheet name="Class-6" sheetId="6" r:id="rId6"/>
    <sheet name="Narsari" sheetId="7" r:id="rId7"/>
    <sheet name="Hifz" sheetId="8" r:id="rId8"/>
    <sheet name="Formula_Test" sheetId="9" r:id="rId9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" i="2" l="1"/>
  <c r="M25" i="2"/>
  <c r="N25" i="2"/>
  <c r="O25" i="2" s="1"/>
  <c r="L26" i="2"/>
  <c r="M26" i="2"/>
  <c r="N26" i="2"/>
  <c r="O26" i="2"/>
  <c r="L27" i="2"/>
  <c r="M27" i="2"/>
  <c r="N27" i="2"/>
  <c r="O27" i="2" s="1"/>
  <c r="L28" i="2"/>
  <c r="M28" i="2"/>
  <c r="N28" i="2"/>
  <c r="O28" i="2"/>
  <c r="L29" i="2"/>
  <c r="M29" i="2"/>
  <c r="N29" i="2"/>
  <c r="O29" i="2" s="1"/>
  <c r="L30" i="2"/>
  <c r="M30" i="2"/>
  <c r="N30" i="2"/>
  <c r="O30" i="2"/>
  <c r="L31" i="2"/>
  <c r="M31" i="2"/>
  <c r="N31" i="2"/>
  <c r="O31" i="2" s="1"/>
  <c r="D22" i="9" l="1"/>
  <c r="E22" i="9" s="1"/>
  <c r="D21" i="9"/>
  <c r="E21" i="9" s="1"/>
  <c r="D20" i="9"/>
  <c r="E20" i="9" s="1"/>
  <c r="D19" i="9"/>
  <c r="E19" i="9" s="1"/>
  <c r="D18" i="9"/>
  <c r="E18" i="9" s="1"/>
  <c r="D17" i="9"/>
  <c r="E17" i="9" s="1"/>
  <c r="D14" i="9"/>
  <c r="E14" i="9" s="1"/>
  <c r="D13" i="9"/>
  <c r="E13" i="9" s="1"/>
  <c r="D12" i="9"/>
  <c r="E12" i="9" s="1"/>
  <c r="D11" i="9"/>
  <c r="E11" i="9" s="1"/>
  <c r="D10" i="9"/>
  <c r="E10" i="9" s="1"/>
  <c r="D7" i="9"/>
  <c r="E7" i="9" s="1"/>
  <c r="D6" i="9"/>
  <c r="E6" i="9" s="1"/>
  <c r="D5" i="9"/>
  <c r="E5" i="9" s="1"/>
  <c r="D4" i="9"/>
  <c r="E4" i="9" s="1"/>
  <c r="D3" i="9"/>
  <c r="E3" i="9" s="1"/>
  <c r="M113" i="8"/>
  <c r="L113" i="8"/>
  <c r="K113" i="8"/>
  <c r="J113" i="8"/>
  <c r="I113" i="8"/>
  <c r="H113" i="8"/>
  <c r="G113" i="8"/>
  <c r="M112" i="8"/>
  <c r="L112" i="8"/>
  <c r="K112" i="8"/>
  <c r="J112" i="8"/>
  <c r="I112" i="8"/>
  <c r="H112" i="8"/>
  <c r="G112" i="8"/>
  <c r="M111" i="8"/>
  <c r="L111" i="8"/>
  <c r="K111" i="8"/>
  <c r="J111" i="8"/>
  <c r="I111" i="8"/>
  <c r="H111" i="8"/>
  <c r="G111" i="8"/>
  <c r="M110" i="8"/>
  <c r="L110" i="8"/>
  <c r="K110" i="8"/>
  <c r="J110" i="8"/>
  <c r="I110" i="8"/>
  <c r="H110" i="8"/>
  <c r="G110" i="8"/>
  <c r="M109" i="8"/>
  <c r="L109" i="8"/>
  <c r="K109" i="8"/>
  <c r="J109" i="8"/>
  <c r="I109" i="8"/>
  <c r="H109" i="8"/>
  <c r="G109" i="8"/>
  <c r="M108" i="8"/>
  <c r="L108" i="8"/>
  <c r="K108" i="8"/>
  <c r="J108" i="8"/>
  <c r="I108" i="8"/>
  <c r="H108" i="8"/>
  <c r="G108" i="8"/>
  <c r="M107" i="8"/>
  <c r="L107" i="8"/>
  <c r="K107" i="8"/>
  <c r="J107" i="8"/>
  <c r="I107" i="8"/>
  <c r="H107" i="8"/>
  <c r="G107" i="8"/>
  <c r="M106" i="8"/>
  <c r="L106" i="8"/>
  <c r="K106" i="8"/>
  <c r="J106" i="8"/>
  <c r="I106" i="8"/>
  <c r="H106" i="8"/>
  <c r="G106" i="8"/>
  <c r="M105" i="8"/>
  <c r="L105" i="8"/>
  <c r="K105" i="8"/>
  <c r="J105" i="8"/>
  <c r="I105" i="8"/>
  <c r="H105" i="8"/>
  <c r="G105" i="8"/>
  <c r="M104" i="8"/>
  <c r="L104" i="8"/>
  <c r="K104" i="8"/>
  <c r="J104" i="8"/>
  <c r="I104" i="8"/>
  <c r="H104" i="8"/>
  <c r="G104" i="8"/>
  <c r="M103" i="8"/>
  <c r="L103" i="8"/>
  <c r="K103" i="8"/>
  <c r="J103" i="8"/>
  <c r="I103" i="8"/>
  <c r="H103" i="8"/>
  <c r="G103" i="8"/>
  <c r="M102" i="8"/>
  <c r="L102" i="8"/>
  <c r="K102" i="8"/>
  <c r="J102" i="8"/>
  <c r="I102" i="8"/>
  <c r="H102" i="8"/>
  <c r="G102" i="8"/>
  <c r="M101" i="8"/>
  <c r="L101" i="8"/>
  <c r="K101" i="8"/>
  <c r="J101" i="8"/>
  <c r="I101" i="8"/>
  <c r="H101" i="8"/>
  <c r="G101" i="8"/>
  <c r="M100" i="8"/>
  <c r="L100" i="8"/>
  <c r="K100" i="8"/>
  <c r="J100" i="8"/>
  <c r="I100" i="8"/>
  <c r="H100" i="8"/>
  <c r="G100" i="8"/>
  <c r="M99" i="8"/>
  <c r="L99" i="8"/>
  <c r="K99" i="8"/>
  <c r="J99" i="8"/>
  <c r="I99" i="8"/>
  <c r="H99" i="8"/>
  <c r="G99" i="8"/>
  <c r="M98" i="8"/>
  <c r="L98" i="8"/>
  <c r="K98" i="8"/>
  <c r="J98" i="8"/>
  <c r="I98" i="8"/>
  <c r="H98" i="8"/>
  <c r="G98" i="8"/>
  <c r="M97" i="8"/>
  <c r="L97" i="8"/>
  <c r="K97" i="8"/>
  <c r="J97" i="8"/>
  <c r="I97" i="8"/>
  <c r="H97" i="8"/>
  <c r="G97" i="8"/>
  <c r="M96" i="8"/>
  <c r="L96" i="8"/>
  <c r="K96" i="8"/>
  <c r="J96" i="8"/>
  <c r="I96" i="8"/>
  <c r="H96" i="8"/>
  <c r="G96" i="8"/>
  <c r="M95" i="8"/>
  <c r="L95" i="8"/>
  <c r="K95" i="8"/>
  <c r="J95" i="8"/>
  <c r="I95" i="8"/>
  <c r="H95" i="8"/>
  <c r="G95" i="8"/>
  <c r="M94" i="8"/>
  <c r="L94" i="8"/>
  <c r="K94" i="8"/>
  <c r="J94" i="8"/>
  <c r="I94" i="8"/>
  <c r="H94" i="8"/>
  <c r="G94" i="8"/>
  <c r="M93" i="8"/>
  <c r="L93" i="8"/>
  <c r="K93" i="8"/>
  <c r="J93" i="8"/>
  <c r="I93" i="8"/>
  <c r="H93" i="8"/>
  <c r="G93" i="8"/>
  <c r="M92" i="8"/>
  <c r="L92" i="8"/>
  <c r="K92" i="8"/>
  <c r="J92" i="8"/>
  <c r="I92" i="8"/>
  <c r="H92" i="8"/>
  <c r="G92" i="8"/>
  <c r="M91" i="8"/>
  <c r="L91" i="8"/>
  <c r="K91" i="8"/>
  <c r="J91" i="8"/>
  <c r="I91" i="8"/>
  <c r="H91" i="8"/>
  <c r="G91" i="8"/>
  <c r="M90" i="8"/>
  <c r="L90" i="8"/>
  <c r="K90" i="8"/>
  <c r="J90" i="8"/>
  <c r="I90" i="8"/>
  <c r="H90" i="8"/>
  <c r="G90" i="8"/>
  <c r="M89" i="8"/>
  <c r="L89" i="8"/>
  <c r="K89" i="8"/>
  <c r="J89" i="8"/>
  <c r="I89" i="8"/>
  <c r="H89" i="8"/>
  <c r="G89" i="8"/>
  <c r="M88" i="8"/>
  <c r="L88" i="8"/>
  <c r="K88" i="8"/>
  <c r="J88" i="8"/>
  <c r="I88" i="8"/>
  <c r="H88" i="8"/>
  <c r="G88" i="8"/>
  <c r="M87" i="8"/>
  <c r="L87" i="8"/>
  <c r="J87" i="8"/>
  <c r="I87" i="8"/>
  <c r="H87" i="8"/>
  <c r="G87" i="8"/>
  <c r="M86" i="8"/>
  <c r="L86" i="8"/>
  <c r="J86" i="8"/>
  <c r="I86" i="8"/>
  <c r="H86" i="8"/>
  <c r="G86" i="8"/>
  <c r="M85" i="8"/>
  <c r="L85" i="8"/>
  <c r="J85" i="8"/>
  <c r="I85" i="8"/>
  <c r="H85" i="8"/>
  <c r="G85" i="8"/>
  <c r="M84" i="8"/>
  <c r="L84" i="8"/>
  <c r="J84" i="8"/>
  <c r="I84" i="8"/>
  <c r="H84" i="8"/>
  <c r="G84" i="8"/>
  <c r="M83" i="8"/>
  <c r="L83" i="8"/>
  <c r="J83" i="8"/>
  <c r="I83" i="8"/>
  <c r="H83" i="8"/>
  <c r="G83" i="8"/>
  <c r="M82" i="8"/>
  <c r="L82" i="8"/>
  <c r="J82" i="8"/>
  <c r="I82" i="8"/>
  <c r="H82" i="8"/>
  <c r="G82" i="8"/>
  <c r="M81" i="8"/>
  <c r="L81" i="8"/>
  <c r="J81" i="8"/>
  <c r="I81" i="8"/>
  <c r="H81" i="8"/>
  <c r="G81" i="8"/>
  <c r="M80" i="8"/>
  <c r="L80" i="8"/>
  <c r="J80" i="8"/>
  <c r="I80" i="8"/>
  <c r="H80" i="8"/>
  <c r="G80" i="8"/>
  <c r="M79" i="8"/>
  <c r="L79" i="8"/>
  <c r="J79" i="8"/>
  <c r="I79" i="8"/>
  <c r="H79" i="8"/>
  <c r="G79" i="8"/>
  <c r="M78" i="8"/>
  <c r="L78" i="8"/>
  <c r="J78" i="8"/>
  <c r="I78" i="8"/>
  <c r="H78" i="8"/>
  <c r="G78" i="8"/>
  <c r="M63" i="8"/>
  <c r="L63" i="8"/>
  <c r="K63" i="8"/>
  <c r="J63" i="8"/>
  <c r="I63" i="8"/>
  <c r="H63" i="8"/>
  <c r="G63" i="8"/>
  <c r="M62" i="8"/>
  <c r="L62" i="8"/>
  <c r="K62" i="8"/>
  <c r="J62" i="8"/>
  <c r="I62" i="8"/>
  <c r="H62" i="8"/>
  <c r="G62" i="8"/>
  <c r="M61" i="8"/>
  <c r="L61" i="8"/>
  <c r="K61" i="8"/>
  <c r="J61" i="8"/>
  <c r="I61" i="8"/>
  <c r="H61" i="8"/>
  <c r="G61" i="8"/>
  <c r="M60" i="8"/>
  <c r="L60" i="8"/>
  <c r="K60" i="8"/>
  <c r="J60" i="8"/>
  <c r="I60" i="8"/>
  <c r="H60" i="8"/>
  <c r="G60" i="8"/>
  <c r="M59" i="8"/>
  <c r="L59" i="8"/>
  <c r="K59" i="8"/>
  <c r="J59" i="8"/>
  <c r="I59" i="8"/>
  <c r="H59" i="8"/>
  <c r="G59" i="8"/>
  <c r="M58" i="8"/>
  <c r="L58" i="8"/>
  <c r="K58" i="8"/>
  <c r="J58" i="8"/>
  <c r="I58" i="8"/>
  <c r="H58" i="8"/>
  <c r="G58" i="8"/>
  <c r="M57" i="8"/>
  <c r="L57" i="8"/>
  <c r="K57" i="8"/>
  <c r="J57" i="8"/>
  <c r="I57" i="8"/>
  <c r="H57" i="8"/>
  <c r="G57" i="8"/>
  <c r="M56" i="8"/>
  <c r="L56" i="8"/>
  <c r="K56" i="8"/>
  <c r="J56" i="8"/>
  <c r="I56" i="8"/>
  <c r="H56" i="8"/>
  <c r="G56" i="8"/>
  <c r="M55" i="8"/>
  <c r="L55" i="8"/>
  <c r="K55" i="8"/>
  <c r="J55" i="8"/>
  <c r="I55" i="8"/>
  <c r="H55" i="8"/>
  <c r="G55" i="8"/>
  <c r="M54" i="8"/>
  <c r="L54" i="8"/>
  <c r="K54" i="8"/>
  <c r="J54" i="8"/>
  <c r="I54" i="8"/>
  <c r="H54" i="8"/>
  <c r="G54" i="8"/>
  <c r="M53" i="8"/>
  <c r="L53" i="8"/>
  <c r="K53" i="8"/>
  <c r="J53" i="8"/>
  <c r="I53" i="8"/>
  <c r="H53" i="8"/>
  <c r="G53" i="8"/>
  <c r="M52" i="8"/>
  <c r="L52" i="8"/>
  <c r="K52" i="8"/>
  <c r="J52" i="8"/>
  <c r="I52" i="8"/>
  <c r="H52" i="8"/>
  <c r="G52" i="8"/>
  <c r="M51" i="8"/>
  <c r="L51" i="8"/>
  <c r="K51" i="8"/>
  <c r="J51" i="8"/>
  <c r="I51" i="8"/>
  <c r="H51" i="8"/>
  <c r="G51" i="8"/>
  <c r="M50" i="8"/>
  <c r="L50" i="8"/>
  <c r="K50" i="8"/>
  <c r="J50" i="8"/>
  <c r="I50" i="8"/>
  <c r="H50" i="8"/>
  <c r="G50" i="8"/>
  <c r="M49" i="8"/>
  <c r="L49" i="8"/>
  <c r="K49" i="8"/>
  <c r="J49" i="8"/>
  <c r="I49" i="8"/>
  <c r="H49" i="8"/>
  <c r="G49" i="8"/>
  <c r="M48" i="8"/>
  <c r="L48" i="8"/>
  <c r="K48" i="8"/>
  <c r="J48" i="8"/>
  <c r="I48" i="8"/>
  <c r="H48" i="8"/>
  <c r="G48" i="8"/>
  <c r="M47" i="8"/>
  <c r="L47" i="8"/>
  <c r="K47" i="8"/>
  <c r="J47" i="8"/>
  <c r="I47" i="8"/>
  <c r="H47" i="8"/>
  <c r="G47" i="8"/>
  <c r="M46" i="8"/>
  <c r="L46" i="8"/>
  <c r="K46" i="8"/>
  <c r="J46" i="8"/>
  <c r="I46" i="8"/>
  <c r="H46" i="8"/>
  <c r="G46" i="8"/>
  <c r="M45" i="8"/>
  <c r="L45" i="8"/>
  <c r="K45" i="8"/>
  <c r="J45" i="8"/>
  <c r="I45" i="8"/>
  <c r="H45" i="8"/>
  <c r="G45" i="8"/>
  <c r="M44" i="8"/>
  <c r="L44" i="8"/>
  <c r="K44" i="8"/>
  <c r="J44" i="8"/>
  <c r="I44" i="8"/>
  <c r="H44" i="8"/>
  <c r="G44" i="8"/>
  <c r="M43" i="8"/>
  <c r="L43" i="8"/>
  <c r="K43" i="8"/>
  <c r="J43" i="8"/>
  <c r="I43" i="8"/>
  <c r="H43" i="8"/>
  <c r="G43" i="8"/>
  <c r="M42" i="8"/>
  <c r="L42" i="8"/>
  <c r="K42" i="8"/>
  <c r="J42" i="8"/>
  <c r="I42" i="8"/>
  <c r="H42" i="8"/>
  <c r="G42" i="8"/>
  <c r="J41" i="8"/>
  <c r="I41" i="8"/>
  <c r="H41" i="8"/>
  <c r="M41" i="8" s="1"/>
  <c r="G41" i="8"/>
  <c r="I40" i="8"/>
  <c r="J40" i="8" s="1"/>
  <c r="H40" i="8"/>
  <c r="M40" i="8" s="1"/>
  <c r="G40" i="8"/>
  <c r="J39" i="8"/>
  <c r="I39" i="8"/>
  <c r="H39" i="8"/>
  <c r="M39" i="8" s="1"/>
  <c r="G39" i="8"/>
  <c r="I38" i="8"/>
  <c r="J38" i="8" s="1"/>
  <c r="H38" i="8"/>
  <c r="M38" i="8" s="1"/>
  <c r="G38" i="8"/>
  <c r="J37" i="8"/>
  <c r="I37" i="8"/>
  <c r="H37" i="8"/>
  <c r="M37" i="8" s="1"/>
  <c r="G37" i="8"/>
  <c r="I36" i="8"/>
  <c r="J36" i="8" s="1"/>
  <c r="H36" i="8"/>
  <c r="M36" i="8" s="1"/>
  <c r="G36" i="8"/>
  <c r="J35" i="8"/>
  <c r="I35" i="8"/>
  <c r="H35" i="8"/>
  <c r="M35" i="8" s="1"/>
  <c r="G35" i="8"/>
  <c r="I34" i="8"/>
  <c r="J34" i="8" s="1"/>
  <c r="H34" i="8"/>
  <c r="M34" i="8" s="1"/>
  <c r="G34" i="8"/>
  <c r="J33" i="8"/>
  <c r="I33" i="8"/>
  <c r="H33" i="8"/>
  <c r="M33" i="8" s="1"/>
  <c r="G33" i="8"/>
  <c r="I32" i="8"/>
  <c r="J32" i="8" s="1"/>
  <c r="H32" i="8"/>
  <c r="M32" i="8" s="1"/>
  <c r="G32" i="8"/>
  <c r="J31" i="8"/>
  <c r="I31" i="8"/>
  <c r="H31" i="8"/>
  <c r="M31" i="8" s="1"/>
  <c r="G31" i="8"/>
  <c r="I30" i="8"/>
  <c r="J30" i="8" s="1"/>
  <c r="H30" i="8"/>
  <c r="M30" i="8" s="1"/>
  <c r="G30" i="8"/>
  <c r="J29" i="8"/>
  <c r="I29" i="8"/>
  <c r="H29" i="8"/>
  <c r="M29" i="8" s="1"/>
  <c r="G29" i="8"/>
  <c r="I28" i="8"/>
  <c r="J28" i="8" s="1"/>
  <c r="H28" i="8"/>
  <c r="M28" i="8" s="1"/>
  <c r="G28" i="8"/>
  <c r="J27" i="8"/>
  <c r="I27" i="8"/>
  <c r="H27" i="8"/>
  <c r="M27" i="8" s="1"/>
  <c r="G27" i="8"/>
  <c r="I26" i="8"/>
  <c r="J26" i="8" s="1"/>
  <c r="H26" i="8"/>
  <c r="M26" i="8" s="1"/>
  <c r="G26" i="8"/>
  <c r="J25" i="8"/>
  <c r="I25" i="8"/>
  <c r="H25" i="8"/>
  <c r="M25" i="8" s="1"/>
  <c r="G25" i="8"/>
  <c r="I24" i="8"/>
  <c r="J24" i="8" s="1"/>
  <c r="H24" i="8"/>
  <c r="M24" i="8" s="1"/>
  <c r="G24" i="8"/>
  <c r="J23" i="8"/>
  <c r="I23" i="8"/>
  <c r="H23" i="8"/>
  <c r="M23" i="8" s="1"/>
  <c r="G23" i="8"/>
  <c r="I22" i="8"/>
  <c r="J22" i="8" s="1"/>
  <c r="H22" i="8"/>
  <c r="M22" i="8" s="1"/>
  <c r="G22" i="8"/>
  <c r="J21" i="8"/>
  <c r="I21" i="8"/>
  <c r="H21" i="8"/>
  <c r="M21" i="8" s="1"/>
  <c r="G21" i="8"/>
  <c r="M20" i="8"/>
  <c r="I20" i="8"/>
  <c r="J20" i="8" s="1"/>
  <c r="H20" i="8"/>
  <c r="G20" i="8"/>
  <c r="J19" i="8"/>
  <c r="I19" i="8"/>
  <c r="H19" i="8"/>
  <c r="M19" i="8" s="1"/>
  <c r="G19" i="8"/>
  <c r="I18" i="8"/>
  <c r="J18" i="8" s="1"/>
  <c r="H18" i="8"/>
  <c r="M18" i="8" s="1"/>
  <c r="G18" i="8"/>
  <c r="J17" i="8"/>
  <c r="I17" i="8"/>
  <c r="H17" i="8"/>
  <c r="M17" i="8" s="1"/>
  <c r="G17" i="8"/>
  <c r="I16" i="8"/>
  <c r="J16" i="8" s="1"/>
  <c r="H16" i="8"/>
  <c r="M16" i="8" s="1"/>
  <c r="G16" i="8"/>
  <c r="J15" i="8"/>
  <c r="I15" i="8"/>
  <c r="H15" i="8"/>
  <c r="M15" i="8" s="1"/>
  <c r="G15" i="8"/>
  <c r="I14" i="8"/>
  <c r="J14" i="8" s="1"/>
  <c r="H14" i="8"/>
  <c r="M14" i="8" s="1"/>
  <c r="G14" i="8"/>
  <c r="M112" i="7"/>
  <c r="L112" i="7"/>
  <c r="K112" i="7"/>
  <c r="J112" i="7"/>
  <c r="I112" i="7"/>
  <c r="M111" i="7"/>
  <c r="L111" i="7"/>
  <c r="K111" i="7"/>
  <c r="J111" i="7"/>
  <c r="I111" i="7"/>
  <c r="M110" i="7"/>
  <c r="L110" i="7"/>
  <c r="K110" i="7"/>
  <c r="J110" i="7"/>
  <c r="I110" i="7"/>
  <c r="M109" i="7"/>
  <c r="L109" i="7"/>
  <c r="K109" i="7"/>
  <c r="J109" i="7"/>
  <c r="I109" i="7"/>
  <c r="M108" i="7"/>
  <c r="L108" i="7"/>
  <c r="K108" i="7"/>
  <c r="J108" i="7"/>
  <c r="I108" i="7"/>
  <c r="M107" i="7"/>
  <c r="L107" i="7"/>
  <c r="K107" i="7"/>
  <c r="J107" i="7"/>
  <c r="I107" i="7"/>
  <c r="M106" i="7"/>
  <c r="L106" i="7"/>
  <c r="K106" i="7"/>
  <c r="J106" i="7"/>
  <c r="I106" i="7"/>
  <c r="M105" i="7"/>
  <c r="L105" i="7"/>
  <c r="K105" i="7"/>
  <c r="J105" i="7"/>
  <c r="I105" i="7"/>
  <c r="M104" i="7"/>
  <c r="L104" i="7"/>
  <c r="K104" i="7"/>
  <c r="J104" i="7"/>
  <c r="I104" i="7"/>
  <c r="M103" i="7"/>
  <c r="L103" i="7"/>
  <c r="K103" i="7"/>
  <c r="J103" i="7"/>
  <c r="I103" i="7"/>
  <c r="M102" i="7"/>
  <c r="L102" i="7"/>
  <c r="K102" i="7"/>
  <c r="J102" i="7"/>
  <c r="I102" i="7"/>
  <c r="M101" i="7"/>
  <c r="L101" i="7"/>
  <c r="K101" i="7"/>
  <c r="J101" i="7"/>
  <c r="I101" i="7"/>
  <c r="M100" i="7"/>
  <c r="L100" i="7"/>
  <c r="K100" i="7"/>
  <c r="J100" i="7"/>
  <c r="I100" i="7"/>
  <c r="M99" i="7"/>
  <c r="L99" i="7"/>
  <c r="K99" i="7"/>
  <c r="J99" i="7"/>
  <c r="I99" i="7"/>
  <c r="M98" i="7"/>
  <c r="L98" i="7"/>
  <c r="K98" i="7"/>
  <c r="J98" i="7"/>
  <c r="I98" i="7"/>
  <c r="M97" i="7"/>
  <c r="L97" i="7"/>
  <c r="K97" i="7"/>
  <c r="J97" i="7"/>
  <c r="I97" i="7"/>
  <c r="M96" i="7"/>
  <c r="L96" i="7"/>
  <c r="K96" i="7"/>
  <c r="J96" i="7"/>
  <c r="I96" i="7"/>
  <c r="M95" i="7"/>
  <c r="L95" i="7"/>
  <c r="K95" i="7"/>
  <c r="J95" i="7"/>
  <c r="I95" i="7"/>
  <c r="M94" i="7"/>
  <c r="L94" i="7"/>
  <c r="K94" i="7"/>
  <c r="J94" i="7"/>
  <c r="I94" i="7"/>
  <c r="M93" i="7"/>
  <c r="L93" i="7"/>
  <c r="K93" i="7"/>
  <c r="J93" i="7"/>
  <c r="I93" i="7"/>
  <c r="M92" i="7"/>
  <c r="L92" i="7"/>
  <c r="K92" i="7"/>
  <c r="J92" i="7"/>
  <c r="I92" i="7"/>
  <c r="M91" i="7"/>
  <c r="L91" i="7"/>
  <c r="K91" i="7"/>
  <c r="J91" i="7"/>
  <c r="I91" i="7"/>
  <c r="M90" i="7"/>
  <c r="L90" i="7"/>
  <c r="K90" i="7"/>
  <c r="J90" i="7"/>
  <c r="I90" i="7"/>
  <c r="M89" i="7"/>
  <c r="L89" i="7"/>
  <c r="K89" i="7"/>
  <c r="J89" i="7"/>
  <c r="I89" i="7"/>
  <c r="M88" i="7"/>
  <c r="L88" i="7"/>
  <c r="K88" i="7"/>
  <c r="J88" i="7"/>
  <c r="I88" i="7"/>
  <c r="M87" i="7"/>
  <c r="L87" i="7"/>
  <c r="K87" i="7"/>
  <c r="J87" i="7"/>
  <c r="I87" i="7"/>
  <c r="M86" i="7"/>
  <c r="L86" i="7"/>
  <c r="K86" i="7"/>
  <c r="J86" i="7"/>
  <c r="I86" i="7"/>
  <c r="M85" i="7"/>
  <c r="L85" i="7"/>
  <c r="K85" i="7"/>
  <c r="J85" i="7"/>
  <c r="I85" i="7"/>
  <c r="M84" i="7"/>
  <c r="L84" i="7"/>
  <c r="K84" i="7"/>
  <c r="J84" i="7"/>
  <c r="I84" i="7"/>
  <c r="M83" i="7"/>
  <c r="L83" i="7"/>
  <c r="K83" i="7"/>
  <c r="J83" i="7"/>
  <c r="I83" i="7"/>
  <c r="M82" i="7"/>
  <c r="L82" i="7"/>
  <c r="K82" i="7"/>
  <c r="J82" i="7"/>
  <c r="I82" i="7"/>
  <c r="M81" i="7"/>
  <c r="L81" i="7"/>
  <c r="K81" i="7"/>
  <c r="J81" i="7"/>
  <c r="I81" i="7"/>
  <c r="M80" i="7"/>
  <c r="L80" i="7"/>
  <c r="K80" i="7"/>
  <c r="J80" i="7"/>
  <c r="I80" i="7"/>
  <c r="M79" i="7"/>
  <c r="L79" i="7"/>
  <c r="K79" i="7"/>
  <c r="J79" i="7"/>
  <c r="I79" i="7"/>
  <c r="M78" i="7"/>
  <c r="L78" i="7"/>
  <c r="K78" i="7"/>
  <c r="J78" i="7"/>
  <c r="I78" i="7"/>
  <c r="L77" i="7"/>
  <c r="K77" i="7"/>
  <c r="J77" i="7"/>
  <c r="I77" i="7"/>
  <c r="L63" i="7"/>
  <c r="K63" i="7"/>
  <c r="J63" i="7"/>
  <c r="M63" i="7" s="1"/>
  <c r="I63" i="7"/>
  <c r="M62" i="7"/>
  <c r="K62" i="7"/>
  <c r="L62" i="7" s="1"/>
  <c r="J62" i="7"/>
  <c r="I62" i="7"/>
  <c r="L61" i="7"/>
  <c r="K61" i="7"/>
  <c r="J61" i="7"/>
  <c r="M61" i="7" s="1"/>
  <c r="I61" i="7"/>
  <c r="M60" i="7"/>
  <c r="K60" i="7"/>
  <c r="L60" i="7" s="1"/>
  <c r="J60" i="7"/>
  <c r="I60" i="7"/>
  <c r="M59" i="7"/>
  <c r="L59" i="7"/>
  <c r="K59" i="7"/>
  <c r="J59" i="7"/>
  <c r="I59" i="7"/>
  <c r="M58" i="7"/>
  <c r="L58" i="7"/>
  <c r="K58" i="7"/>
  <c r="J58" i="7"/>
  <c r="I58" i="7"/>
  <c r="M57" i="7"/>
  <c r="L57" i="7"/>
  <c r="K57" i="7"/>
  <c r="J57" i="7"/>
  <c r="I57" i="7"/>
  <c r="M56" i="7"/>
  <c r="L56" i="7"/>
  <c r="K56" i="7"/>
  <c r="J56" i="7"/>
  <c r="I56" i="7"/>
  <c r="M55" i="7"/>
  <c r="L55" i="7"/>
  <c r="K55" i="7"/>
  <c r="J55" i="7"/>
  <c r="I55" i="7"/>
  <c r="M54" i="7"/>
  <c r="L54" i="7"/>
  <c r="K54" i="7"/>
  <c r="J54" i="7"/>
  <c r="I54" i="7"/>
  <c r="M53" i="7"/>
  <c r="L53" i="7"/>
  <c r="K53" i="7"/>
  <c r="J53" i="7"/>
  <c r="I53" i="7"/>
  <c r="M52" i="7"/>
  <c r="L52" i="7"/>
  <c r="K52" i="7"/>
  <c r="J52" i="7"/>
  <c r="I52" i="7"/>
  <c r="M51" i="7"/>
  <c r="L51" i="7"/>
  <c r="K51" i="7"/>
  <c r="J51" i="7"/>
  <c r="I51" i="7"/>
  <c r="M50" i="7"/>
  <c r="L50" i="7"/>
  <c r="K50" i="7"/>
  <c r="J50" i="7"/>
  <c r="I50" i="7"/>
  <c r="M49" i="7"/>
  <c r="L49" i="7"/>
  <c r="K49" i="7"/>
  <c r="J49" i="7"/>
  <c r="I49" i="7"/>
  <c r="M48" i="7"/>
  <c r="L48" i="7"/>
  <c r="K48" i="7"/>
  <c r="J48" i="7"/>
  <c r="I48" i="7"/>
  <c r="M47" i="7"/>
  <c r="L47" i="7"/>
  <c r="K47" i="7"/>
  <c r="J47" i="7"/>
  <c r="I47" i="7"/>
  <c r="M46" i="7"/>
  <c r="L46" i="7"/>
  <c r="K46" i="7"/>
  <c r="J46" i="7"/>
  <c r="I46" i="7"/>
  <c r="M45" i="7"/>
  <c r="L45" i="7"/>
  <c r="K45" i="7"/>
  <c r="J45" i="7"/>
  <c r="I45" i="7"/>
  <c r="K44" i="7"/>
  <c r="L44" i="7" s="1"/>
  <c r="J44" i="7"/>
  <c r="M44" i="7" s="1"/>
  <c r="I44" i="7"/>
  <c r="L43" i="7"/>
  <c r="K43" i="7"/>
  <c r="J43" i="7"/>
  <c r="M43" i="7" s="1"/>
  <c r="I43" i="7"/>
  <c r="M42" i="7"/>
  <c r="K42" i="7"/>
  <c r="L42" i="7" s="1"/>
  <c r="J42" i="7"/>
  <c r="I42" i="7"/>
  <c r="L41" i="7"/>
  <c r="K41" i="7"/>
  <c r="J41" i="7"/>
  <c r="M41" i="7" s="1"/>
  <c r="I41" i="7"/>
  <c r="M40" i="7"/>
  <c r="K40" i="7"/>
  <c r="L40" i="7" s="1"/>
  <c r="J40" i="7"/>
  <c r="I40" i="7"/>
  <c r="L39" i="7"/>
  <c r="K39" i="7"/>
  <c r="J39" i="7"/>
  <c r="M39" i="7" s="1"/>
  <c r="I39" i="7"/>
  <c r="M38" i="7"/>
  <c r="K38" i="7"/>
  <c r="L38" i="7" s="1"/>
  <c r="J38" i="7"/>
  <c r="I38" i="7"/>
  <c r="L37" i="7"/>
  <c r="K37" i="7"/>
  <c r="J37" i="7"/>
  <c r="M37" i="7" s="1"/>
  <c r="I37" i="7"/>
  <c r="M36" i="7"/>
  <c r="K36" i="7"/>
  <c r="L36" i="7" s="1"/>
  <c r="J36" i="7"/>
  <c r="I36" i="7"/>
  <c r="L35" i="7"/>
  <c r="K35" i="7"/>
  <c r="J35" i="7"/>
  <c r="M35" i="7" s="1"/>
  <c r="I35" i="7"/>
  <c r="M34" i="7"/>
  <c r="K34" i="7"/>
  <c r="L34" i="7" s="1"/>
  <c r="J34" i="7"/>
  <c r="I34" i="7"/>
  <c r="L33" i="7"/>
  <c r="K33" i="7"/>
  <c r="J33" i="7"/>
  <c r="M33" i="7" s="1"/>
  <c r="I33" i="7"/>
  <c r="M32" i="7"/>
  <c r="K32" i="7"/>
  <c r="L32" i="7" s="1"/>
  <c r="J32" i="7"/>
  <c r="I32" i="7"/>
  <c r="L31" i="7"/>
  <c r="K31" i="7"/>
  <c r="J31" i="7"/>
  <c r="M31" i="7" s="1"/>
  <c r="I31" i="7"/>
  <c r="M30" i="7"/>
  <c r="K30" i="7"/>
  <c r="L30" i="7" s="1"/>
  <c r="J30" i="7"/>
  <c r="I30" i="7"/>
  <c r="M29" i="7"/>
  <c r="L29" i="7"/>
  <c r="K29" i="7"/>
  <c r="J29" i="7"/>
  <c r="I29" i="7"/>
  <c r="K28" i="7"/>
  <c r="L28" i="7" s="1"/>
  <c r="J28" i="7"/>
  <c r="M28" i="7" s="1"/>
  <c r="I28" i="7"/>
  <c r="K27" i="7"/>
  <c r="L27" i="7" s="1"/>
  <c r="J27" i="7"/>
  <c r="I27" i="7"/>
  <c r="K26" i="7"/>
  <c r="L26" i="7" s="1"/>
  <c r="J26" i="7"/>
  <c r="M26" i="7" s="1"/>
  <c r="I26" i="7"/>
  <c r="K25" i="7"/>
  <c r="L25" i="7" s="1"/>
  <c r="J25" i="7"/>
  <c r="M25" i="7" s="1"/>
  <c r="I25" i="7"/>
  <c r="K24" i="7"/>
  <c r="L24" i="7" s="1"/>
  <c r="J24" i="7"/>
  <c r="I24" i="7"/>
  <c r="K23" i="7"/>
  <c r="L23" i="7" s="1"/>
  <c r="J23" i="7"/>
  <c r="I23" i="7"/>
  <c r="K22" i="7"/>
  <c r="L22" i="7" s="1"/>
  <c r="J22" i="7"/>
  <c r="I22" i="7"/>
  <c r="K21" i="7"/>
  <c r="L21" i="7" s="1"/>
  <c r="J21" i="7"/>
  <c r="I21" i="7"/>
  <c r="K20" i="7"/>
  <c r="L20" i="7" s="1"/>
  <c r="J20" i="7"/>
  <c r="I20" i="7"/>
  <c r="K19" i="7"/>
  <c r="L19" i="7" s="1"/>
  <c r="J19" i="7"/>
  <c r="I19" i="7"/>
  <c r="K18" i="7"/>
  <c r="L18" i="7" s="1"/>
  <c r="J18" i="7"/>
  <c r="I18" i="7"/>
  <c r="K17" i="7"/>
  <c r="L17" i="7" s="1"/>
  <c r="J17" i="7"/>
  <c r="I17" i="7"/>
  <c r="K16" i="7"/>
  <c r="L16" i="7" s="1"/>
  <c r="J16" i="7"/>
  <c r="I16" i="7"/>
  <c r="K15" i="7"/>
  <c r="L15" i="7" s="1"/>
  <c r="J15" i="7"/>
  <c r="I15" i="7"/>
  <c r="K14" i="7"/>
  <c r="L14" i="7" s="1"/>
  <c r="J14" i="7"/>
  <c r="I14" i="7"/>
  <c r="R112" i="6"/>
  <c r="Q112" i="6"/>
  <c r="P112" i="6"/>
  <c r="O112" i="6"/>
  <c r="N112" i="6"/>
  <c r="M112" i="6"/>
  <c r="L112" i="6"/>
  <c r="R111" i="6"/>
  <c r="Q111" i="6"/>
  <c r="P111" i="6"/>
  <c r="O111" i="6"/>
  <c r="N111" i="6"/>
  <c r="M111" i="6"/>
  <c r="L111" i="6"/>
  <c r="R110" i="6"/>
  <c r="Q110" i="6"/>
  <c r="P110" i="6"/>
  <c r="O110" i="6"/>
  <c r="N110" i="6"/>
  <c r="M110" i="6"/>
  <c r="L110" i="6"/>
  <c r="R109" i="6"/>
  <c r="Q109" i="6"/>
  <c r="P109" i="6"/>
  <c r="O109" i="6"/>
  <c r="N109" i="6"/>
  <c r="M109" i="6"/>
  <c r="L109" i="6"/>
  <c r="R108" i="6"/>
  <c r="Q108" i="6"/>
  <c r="P108" i="6"/>
  <c r="O108" i="6"/>
  <c r="N108" i="6"/>
  <c r="M108" i="6"/>
  <c r="L108" i="6"/>
  <c r="R107" i="6"/>
  <c r="Q107" i="6"/>
  <c r="P107" i="6"/>
  <c r="O107" i="6"/>
  <c r="N107" i="6"/>
  <c r="M107" i="6"/>
  <c r="L107" i="6"/>
  <c r="R106" i="6"/>
  <c r="Q106" i="6"/>
  <c r="P106" i="6"/>
  <c r="O106" i="6"/>
  <c r="N106" i="6"/>
  <c r="M106" i="6"/>
  <c r="L106" i="6"/>
  <c r="R105" i="6"/>
  <c r="Q105" i="6"/>
  <c r="P105" i="6"/>
  <c r="O105" i="6"/>
  <c r="N105" i="6"/>
  <c r="M105" i="6"/>
  <c r="L105" i="6"/>
  <c r="R104" i="6"/>
  <c r="Q104" i="6"/>
  <c r="P104" i="6"/>
  <c r="O104" i="6"/>
  <c r="N104" i="6"/>
  <c r="M104" i="6"/>
  <c r="L104" i="6"/>
  <c r="R103" i="6"/>
  <c r="Q103" i="6"/>
  <c r="P103" i="6"/>
  <c r="O103" i="6"/>
  <c r="N103" i="6"/>
  <c r="M103" i="6"/>
  <c r="L103" i="6"/>
  <c r="R102" i="6"/>
  <c r="Q102" i="6"/>
  <c r="P102" i="6"/>
  <c r="O102" i="6"/>
  <c r="N102" i="6"/>
  <c r="M102" i="6"/>
  <c r="L102" i="6"/>
  <c r="R101" i="6"/>
  <c r="Q101" i="6"/>
  <c r="P101" i="6"/>
  <c r="O101" i="6"/>
  <c r="N101" i="6"/>
  <c r="M101" i="6"/>
  <c r="L101" i="6"/>
  <c r="R100" i="6"/>
  <c r="Q100" i="6"/>
  <c r="P100" i="6"/>
  <c r="O100" i="6"/>
  <c r="N100" i="6"/>
  <c r="M100" i="6"/>
  <c r="L100" i="6"/>
  <c r="R99" i="6"/>
  <c r="Q99" i="6"/>
  <c r="P99" i="6"/>
  <c r="O99" i="6"/>
  <c r="N99" i="6"/>
  <c r="M99" i="6"/>
  <c r="L99" i="6"/>
  <c r="R98" i="6"/>
  <c r="Q98" i="6"/>
  <c r="P98" i="6"/>
  <c r="O98" i="6"/>
  <c r="N98" i="6"/>
  <c r="M98" i="6"/>
  <c r="L98" i="6"/>
  <c r="R97" i="6"/>
  <c r="Q97" i="6"/>
  <c r="P97" i="6"/>
  <c r="O97" i="6"/>
  <c r="N97" i="6"/>
  <c r="M97" i="6"/>
  <c r="L97" i="6"/>
  <c r="R96" i="6"/>
  <c r="Q96" i="6"/>
  <c r="P96" i="6"/>
  <c r="O96" i="6"/>
  <c r="N96" i="6"/>
  <c r="M96" i="6"/>
  <c r="L96" i="6"/>
  <c r="R95" i="6"/>
  <c r="Q95" i="6"/>
  <c r="P95" i="6"/>
  <c r="O95" i="6"/>
  <c r="N95" i="6"/>
  <c r="M95" i="6"/>
  <c r="L95" i="6"/>
  <c r="R94" i="6"/>
  <c r="Q94" i="6"/>
  <c r="P94" i="6"/>
  <c r="O94" i="6"/>
  <c r="N94" i="6"/>
  <c r="M94" i="6"/>
  <c r="L94" i="6"/>
  <c r="R93" i="6"/>
  <c r="Q93" i="6"/>
  <c r="P93" i="6"/>
  <c r="O93" i="6"/>
  <c r="N93" i="6"/>
  <c r="M93" i="6"/>
  <c r="L93" i="6"/>
  <c r="R92" i="6"/>
  <c r="Q92" i="6"/>
  <c r="P92" i="6"/>
  <c r="O92" i="6"/>
  <c r="N92" i="6"/>
  <c r="M92" i="6"/>
  <c r="L92" i="6"/>
  <c r="R91" i="6"/>
  <c r="Q91" i="6"/>
  <c r="P91" i="6"/>
  <c r="O91" i="6"/>
  <c r="N91" i="6"/>
  <c r="M91" i="6"/>
  <c r="L91" i="6"/>
  <c r="R90" i="6"/>
  <c r="Q90" i="6"/>
  <c r="P90" i="6"/>
  <c r="O90" i="6"/>
  <c r="N90" i="6"/>
  <c r="M90" i="6"/>
  <c r="L90" i="6"/>
  <c r="R89" i="6"/>
  <c r="Q89" i="6"/>
  <c r="P89" i="6"/>
  <c r="O89" i="6"/>
  <c r="N89" i="6"/>
  <c r="M89" i="6"/>
  <c r="L89" i="6"/>
  <c r="R88" i="6"/>
  <c r="Q88" i="6"/>
  <c r="P88" i="6"/>
  <c r="O88" i="6"/>
  <c r="N88" i="6"/>
  <c r="M88" i="6"/>
  <c r="L88" i="6"/>
  <c r="R87" i="6"/>
  <c r="Q87" i="6"/>
  <c r="P87" i="6"/>
  <c r="O87" i="6"/>
  <c r="N87" i="6"/>
  <c r="M87" i="6"/>
  <c r="L87" i="6"/>
  <c r="R86" i="6"/>
  <c r="Q86" i="6"/>
  <c r="P86" i="6"/>
  <c r="O86" i="6"/>
  <c r="N86" i="6"/>
  <c r="M86" i="6"/>
  <c r="L86" i="6"/>
  <c r="R85" i="6"/>
  <c r="Q85" i="6"/>
  <c r="P85" i="6"/>
  <c r="O85" i="6"/>
  <c r="N85" i="6"/>
  <c r="M85" i="6"/>
  <c r="L85" i="6"/>
  <c r="R84" i="6"/>
  <c r="Q84" i="6"/>
  <c r="P84" i="6"/>
  <c r="O84" i="6"/>
  <c r="N84" i="6"/>
  <c r="M84" i="6"/>
  <c r="L84" i="6"/>
  <c r="R83" i="6"/>
  <c r="Q83" i="6"/>
  <c r="P83" i="6"/>
  <c r="O83" i="6"/>
  <c r="N83" i="6"/>
  <c r="M83" i="6"/>
  <c r="L83" i="6"/>
  <c r="R82" i="6"/>
  <c r="Q82" i="6"/>
  <c r="P82" i="6"/>
  <c r="O82" i="6"/>
  <c r="N82" i="6"/>
  <c r="M82" i="6"/>
  <c r="L82" i="6"/>
  <c r="R81" i="6"/>
  <c r="Q81" i="6"/>
  <c r="P81" i="6"/>
  <c r="O81" i="6"/>
  <c r="N81" i="6"/>
  <c r="M81" i="6"/>
  <c r="L81" i="6"/>
  <c r="R80" i="6"/>
  <c r="Q80" i="6"/>
  <c r="P80" i="6"/>
  <c r="O80" i="6"/>
  <c r="N80" i="6"/>
  <c r="M80" i="6"/>
  <c r="L80" i="6"/>
  <c r="R79" i="6"/>
  <c r="Q79" i="6"/>
  <c r="P79" i="6"/>
  <c r="O79" i="6"/>
  <c r="N79" i="6"/>
  <c r="M79" i="6"/>
  <c r="L79" i="6"/>
  <c r="R78" i="6"/>
  <c r="Q78" i="6"/>
  <c r="P78" i="6"/>
  <c r="O78" i="6"/>
  <c r="N78" i="6"/>
  <c r="M78" i="6"/>
  <c r="L78" i="6"/>
  <c r="R77" i="6"/>
  <c r="P77" i="6"/>
  <c r="O77" i="6"/>
  <c r="N77" i="6"/>
  <c r="M77" i="6"/>
  <c r="L77" i="6"/>
  <c r="P76" i="6"/>
  <c r="O76" i="6"/>
  <c r="N76" i="6"/>
  <c r="M76" i="6"/>
  <c r="L76" i="6"/>
  <c r="P75" i="6"/>
  <c r="O75" i="6"/>
  <c r="N75" i="6"/>
  <c r="M75" i="6"/>
  <c r="L75" i="6"/>
  <c r="P74" i="6"/>
  <c r="O74" i="6"/>
  <c r="N74" i="6"/>
  <c r="M74" i="6"/>
  <c r="L74" i="6"/>
  <c r="P73" i="6"/>
  <c r="O73" i="6"/>
  <c r="N73" i="6"/>
  <c r="M73" i="6"/>
  <c r="L73" i="6"/>
  <c r="P72" i="6"/>
  <c r="O72" i="6"/>
  <c r="N72" i="6"/>
  <c r="M72" i="6"/>
  <c r="L72" i="6"/>
  <c r="P71" i="6"/>
  <c r="O71" i="6"/>
  <c r="N71" i="6"/>
  <c r="M71" i="6"/>
  <c r="L71" i="6"/>
  <c r="P70" i="6"/>
  <c r="O70" i="6"/>
  <c r="N70" i="6"/>
  <c r="M70" i="6"/>
  <c r="L70" i="6"/>
  <c r="P69" i="6"/>
  <c r="O69" i="6"/>
  <c r="N69" i="6"/>
  <c r="M69" i="6"/>
  <c r="L69" i="6"/>
  <c r="R63" i="6"/>
  <c r="Q63" i="6"/>
  <c r="P63" i="6"/>
  <c r="O63" i="6"/>
  <c r="N63" i="6"/>
  <c r="M63" i="6"/>
  <c r="L63" i="6"/>
  <c r="R62" i="6"/>
  <c r="Q62" i="6"/>
  <c r="P62" i="6"/>
  <c r="O62" i="6"/>
  <c r="N62" i="6"/>
  <c r="M62" i="6"/>
  <c r="L62" i="6"/>
  <c r="R61" i="6"/>
  <c r="Q61" i="6"/>
  <c r="P61" i="6"/>
  <c r="O61" i="6"/>
  <c r="N61" i="6"/>
  <c r="M61" i="6"/>
  <c r="L61" i="6"/>
  <c r="R60" i="6"/>
  <c r="Q60" i="6"/>
  <c r="P60" i="6"/>
  <c r="O60" i="6"/>
  <c r="N60" i="6"/>
  <c r="M60" i="6"/>
  <c r="L60" i="6"/>
  <c r="R59" i="6"/>
  <c r="Q59" i="6"/>
  <c r="P59" i="6"/>
  <c r="O59" i="6"/>
  <c r="N59" i="6"/>
  <c r="M59" i="6"/>
  <c r="L59" i="6"/>
  <c r="R58" i="6"/>
  <c r="Q58" i="6"/>
  <c r="P58" i="6"/>
  <c r="O58" i="6"/>
  <c r="N58" i="6"/>
  <c r="M58" i="6"/>
  <c r="L58" i="6"/>
  <c r="R57" i="6"/>
  <c r="Q57" i="6"/>
  <c r="P57" i="6"/>
  <c r="O57" i="6"/>
  <c r="N57" i="6"/>
  <c r="M57" i="6"/>
  <c r="L57" i="6"/>
  <c r="R56" i="6"/>
  <c r="Q56" i="6"/>
  <c r="P56" i="6"/>
  <c r="O56" i="6"/>
  <c r="N56" i="6"/>
  <c r="M56" i="6"/>
  <c r="L56" i="6"/>
  <c r="R55" i="6"/>
  <c r="Q55" i="6"/>
  <c r="P55" i="6"/>
  <c r="O55" i="6"/>
  <c r="N55" i="6"/>
  <c r="M55" i="6"/>
  <c r="L55" i="6"/>
  <c r="R54" i="6"/>
  <c r="Q54" i="6"/>
  <c r="P54" i="6"/>
  <c r="O54" i="6"/>
  <c r="N54" i="6"/>
  <c r="M54" i="6"/>
  <c r="L54" i="6"/>
  <c r="R53" i="6"/>
  <c r="Q53" i="6"/>
  <c r="P53" i="6"/>
  <c r="O53" i="6"/>
  <c r="N53" i="6"/>
  <c r="M53" i="6"/>
  <c r="L53" i="6"/>
  <c r="R52" i="6"/>
  <c r="Q52" i="6"/>
  <c r="P52" i="6"/>
  <c r="O52" i="6"/>
  <c r="N52" i="6"/>
  <c r="M52" i="6"/>
  <c r="L52" i="6"/>
  <c r="R51" i="6"/>
  <c r="Q51" i="6"/>
  <c r="P51" i="6"/>
  <c r="O51" i="6"/>
  <c r="N51" i="6"/>
  <c r="M51" i="6"/>
  <c r="L51" i="6"/>
  <c r="R50" i="6"/>
  <c r="Q50" i="6"/>
  <c r="P50" i="6"/>
  <c r="O50" i="6"/>
  <c r="N50" i="6"/>
  <c r="M50" i="6"/>
  <c r="L50" i="6"/>
  <c r="R49" i="6"/>
  <c r="Q49" i="6"/>
  <c r="P49" i="6"/>
  <c r="O49" i="6"/>
  <c r="N49" i="6"/>
  <c r="M49" i="6"/>
  <c r="L49" i="6"/>
  <c r="R48" i="6"/>
  <c r="Q48" i="6"/>
  <c r="P48" i="6"/>
  <c r="O48" i="6"/>
  <c r="N48" i="6"/>
  <c r="M48" i="6"/>
  <c r="L48" i="6"/>
  <c r="R47" i="6"/>
  <c r="Q47" i="6"/>
  <c r="P47" i="6"/>
  <c r="O47" i="6"/>
  <c r="N47" i="6"/>
  <c r="M47" i="6"/>
  <c r="L47" i="6"/>
  <c r="R46" i="6"/>
  <c r="Q46" i="6"/>
  <c r="P46" i="6"/>
  <c r="O46" i="6"/>
  <c r="N46" i="6"/>
  <c r="M46" i="6"/>
  <c r="L46" i="6"/>
  <c r="R45" i="6"/>
  <c r="Q45" i="6"/>
  <c r="P45" i="6"/>
  <c r="O45" i="6"/>
  <c r="N45" i="6"/>
  <c r="M45" i="6"/>
  <c r="L45" i="6"/>
  <c r="R44" i="6"/>
  <c r="Q44" i="6"/>
  <c r="P44" i="6"/>
  <c r="O44" i="6"/>
  <c r="N44" i="6"/>
  <c r="M44" i="6"/>
  <c r="L44" i="6"/>
  <c r="R43" i="6"/>
  <c r="Q43" i="6"/>
  <c r="P43" i="6"/>
  <c r="O43" i="6"/>
  <c r="N43" i="6"/>
  <c r="M43" i="6"/>
  <c r="L43" i="6"/>
  <c r="R42" i="6"/>
  <c r="Q42" i="6"/>
  <c r="P42" i="6"/>
  <c r="O42" i="6"/>
  <c r="N42" i="6"/>
  <c r="M42" i="6"/>
  <c r="L42" i="6"/>
  <c r="R41" i="6"/>
  <c r="Q41" i="6"/>
  <c r="P41" i="6"/>
  <c r="O41" i="6"/>
  <c r="N41" i="6"/>
  <c r="M41" i="6"/>
  <c r="L41" i="6"/>
  <c r="R40" i="6"/>
  <c r="Q40" i="6"/>
  <c r="P40" i="6"/>
  <c r="O40" i="6"/>
  <c r="N40" i="6"/>
  <c r="M40" i="6"/>
  <c r="L40" i="6"/>
  <c r="R39" i="6"/>
  <c r="Q39" i="6"/>
  <c r="P39" i="6"/>
  <c r="O39" i="6"/>
  <c r="N39" i="6"/>
  <c r="M39" i="6"/>
  <c r="L39" i="6"/>
  <c r="R38" i="6"/>
  <c r="Q38" i="6"/>
  <c r="P38" i="6"/>
  <c r="O38" i="6"/>
  <c r="N38" i="6"/>
  <c r="M38" i="6"/>
  <c r="L38" i="6"/>
  <c r="R37" i="6"/>
  <c r="Q37" i="6"/>
  <c r="P37" i="6"/>
  <c r="O37" i="6"/>
  <c r="N37" i="6"/>
  <c r="M37" i="6"/>
  <c r="L37" i="6"/>
  <c r="R36" i="6"/>
  <c r="Q36" i="6"/>
  <c r="P36" i="6"/>
  <c r="O36" i="6"/>
  <c r="N36" i="6"/>
  <c r="M36" i="6"/>
  <c r="L36" i="6"/>
  <c r="R35" i="6"/>
  <c r="Q35" i="6"/>
  <c r="P35" i="6"/>
  <c r="O35" i="6"/>
  <c r="N35" i="6"/>
  <c r="M35" i="6"/>
  <c r="L35" i="6"/>
  <c r="R34" i="6"/>
  <c r="Q34" i="6"/>
  <c r="P34" i="6"/>
  <c r="O34" i="6"/>
  <c r="N34" i="6"/>
  <c r="M34" i="6"/>
  <c r="L34" i="6"/>
  <c r="R33" i="6"/>
  <c r="Q33" i="6"/>
  <c r="P33" i="6"/>
  <c r="O33" i="6"/>
  <c r="N33" i="6"/>
  <c r="M33" i="6"/>
  <c r="L33" i="6"/>
  <c r="R32" i="6"/>
  <c r="Q32" i="6"/>
  <c r="P32" i="6"/>
  <c r="O32" i="6"/>
  <c r="N32" i="6"/>
  <c r="M32" i="6"/>
  <c r="L32" i="6"/>
  <c r="R31" i="6"/>
  <c r="Q31" i="6"/>
  <c r="P31" i="6"/>
  <c r="O31" i="6"/>
  <c r="N31" i="6"/>
  <c r="M31" i="6"/>
  <c r="L31" i="6"/>
  <c r="R30" i="6"/>
  <c r="Q30" i="6"/>
  <c r="P30" i="6"/>
  <c r="O30" i="6"/>
  <c r="N30" i="6"/>
  <c r="M30" i="6"/>
  <c r="L30" i="6"/>
  <c r="N29" i="6"/>
  <c r="O29" i="6" s="1"/>
  <c r="M29" i="6"/>
  <c r="R29" i="6" s="1"/>
  <c r="L29" i="6"/>
  <c r="N28" i="6"/>
  <c r="O28" i="6" s="1"/>
  <c r="M28" i="6"/>
  <c r="R28" i="6" s="1"/>
  <c r="L28" i="6"/>
  <c r="N27" i="6"/>
  <c r="O27" i="6" s="1"/>
  <c r="M27" i="6"/>
  <c r="R27" i="6" s="1"/>
  <c r="L27" i="6"/>
  <c r="N26" i="6"/>
  <c r="O26" i="6" s="1"/>
  <c r="M26" i="6"/>
  <c r="R26" i="6" s="1"/>
  <c r="L26" i="6"/>
  <c r="N25" i="6"/>
  <c r="O25" i="6" s="1"/>
  <c r="M25" i="6"/>
  <c r="R25" i="6" s="1"/>
  <c r="L25" i="6"/>
  <c r="N24" i="6"/>
  <c r="O24" i="6" s="1"/>
  <c r="M24" i="6"/>
  <c r="R24" i="6" s="1"/>
  <c r="L24" i="6"/>
  <c r="N23" i="6"/>
  <c r="O23" i="6" s="1"/>
  <c r="M23" i="6"/>
  <c r="R23" i="6" s="1"/>
  <c r="L23" i="6"/>
  <c r="N22" i="6"/>
  <c r="O22" i="6" s="1"/>
  <c r="M22" i="6"/>
  <c r="R22" i="6" s="1"/>
  <c r="L22" i="6"/>
  <c r="N21" i="6"/>
  <c r="O21" i="6" s="1"/>
  <c r="M21" i="6"/>
  <c r="R21" i="6" s="1"/>
  <c r="L21" i="6"/>
  <c r="N20" i="6"/>
  <c r="O20" i="6" s="1"/>
  <c r="M20" i="6"/>
  <c r="R20" i="6" s="1"/>
  <c r="L20" i="6"/>
  <c r="N19" i="6"/>
  <c r="O19" i="6" s="1"/>
  <c r="M19" i="6"/>
  <c r="R19" i="6" s="1"/>
  <c r="L19" i="6"/>
  <c r="N18" i="6"/>
  <c r="O18" i="6" s="1"/>
  <c r="M18" i="6"/>
  <c r="R18" i="6" s="1"/>
  <c r="L18" i="6"/>
  <c r="N17" i="6"/>
  <c r="O17" i="6" s="1"/>
  <c r="M17" i="6"/>
  <c r="R17" i="6" s="1"/>
  <c r="L17" i="6"/>
  <c r="N16" i="6"/>
  <c r="O16" i="6" s="1"/>
  <c r="M16" i="6"/>
  <c r="R16" i="6" s="1"/>
  <c r="L16" i="6"/>
  <c r="N15" i="6"/>
  <c r="O15" i="6" s="1"/>
  <c r="M15" i="6"/>
  <c r="R15" i="6" s="1"/>
  <c r="L15" i="6"/>
  <c r="N14" i="6"/>
  <c r="O14" i="6" s="1"/>
  <c r="Q14" i="6" s="1"/>
  <c r="P14" i="6" s="1"/>
  <c r="M14" i="6"/>
  <c r="R14" i="6" s="1"/>
  <c r="L14" i="6"/>
  <c r="P113" i="5"/>
  <c r="O113" i="5"/>
  <c r="N113" i="5"/>
  <c r="M113" i="5"/>
  <c r="L113" i="5"/>
  <c r="K113" i="5"/>
  <c r="J113" i="5"/>
  <c r="P112" i="5"/>
  <c r="O112" i="5"/>
  <c r="N112" i="5"/>
  <c r="M112" i="5"/>
  <c r="L112" i="5"/>
  <c r="K112" i="5"/>
  <c r="J112" i="5"/>
  <c r="P111" i="5"/>
  <c r="O111" i="5"/>
  <c r="N111" i="5"/>
  <c r="M111" i="5"/>
  <c r="L111" i="5"/>
  <c r="K111" i="5"/>
  <c r="J111" i="5"/>
  <c r="P110" i="5"/>
  <c r="O110" i="5"/>
  <c r="N110" i="5"/>
  <c r="M110" i="5"/>
  <c r="L110" i="5"/>
  <c r="K110" i="5"/>
  <c r="J110" i="5"/>
  <c r="P109" i="5"/>
  <c r="O109" i="5"/>
  <c r="N109" i="5"/>
  <c r="M109" i="5"/>
  <c r="L109" i="5"/>
  <c r="K109" i="5"/>
  <c r="J109" i="5"/>
  <c r="P108" i="5"/>
  <c r="O108" i="5"/>
  <c r="N108" i="5"/>
  <c r="M108" i="5"/>
  <c r="L108" i="5"/>
  <c r="K108" i="5"/>
  <c r="J108" i="5"/>
  <c r="P107" i="5"/>
  <c r="O107" i="5"/>
  <c r="N107" i="5"/>
  <c r="M107" i="5"/>
  <c r="L107" i="5"/>
  <c r="K107" i="5"/>
  <c r="J107" i="5"/>
  <c r="P106" i="5"/>
  <c r="O106" i="5"/>
  <c r="N106" i="5"/>
  <c r="M106" i="5"/>
  <c r="L106" i="5"/>
  <c r="K106" i="5"/>
  <c r="J106" i="5"/>
  <c r="P105" i="5"/>
  <c r="O105" i="5"/>
  <c r="N105" i="5"/>
  <c r="M105" i="5"/>
  <c r="L105" i="5"/>
  <c r="K105" i="5"/>
  <c r="J105" i="5"/>
  <c r="P104" i="5"/>
  <c r="O104" i="5"/>
  <c r="N104" i="5"/>
  <c r="M104" i="5"/>
  <c r="L104" i="5"/>
  <c r="K104" i="5"/>
  <c r="J104" i="5"/>
  <c r="P103" i="5"/>
  <c r="O103" i="5"/>
  <c r="N103" i="5"/>
  <c r="M103" i="5"/>
  <c r="L103" i="5"/>
  <c r="K103" i="5"/>
  <c r="J103" i="5"/>
  <c r="P102" i="5"/>
  <c r="O102" i="5"/>
  <c r="N102" i="5"/>
  <c r="M102" i="5"/>
  <c r="L102" i="5"/>
  <c r="K102" i="5"/>
  <c r="J102" i="5"/>
  <c r="P101" i="5"/>
  <c r="O101" i="5"/>
  <c r="N101" i="5"/>
  <c r="M101" i="5"/>
  <c r="L101" i="5"/>
  <c r="K101" i="5"/>
  <c r="J101" i="5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J99" i="5"/>
  <c r="P98" i="5"/>
  <c r="O98" i="5"/>
  <c r="N98" i="5"/>
  <c r="M98" i="5"/>
  <c r="L98" i="5"/>
  <c r="K98" i="5"/>
  <c r="J98" i="5"/>
  <c r="P97" i="5"/>
  <c r="O97" i="5"/>
  <c r="N97" i="5"/>
  <c r="M97" i="5"/>
  <c r="L97" i="5"/>
  <c r="K97" i="5"/>
  <c r="J97" i="5"/>
  <c r="P96" i="5"/>
  <c r="O96" i="5"/>
  <c r="N96" i="5"/>
  <c r="M96" i="5"/>
  <c r="L96" i="5"/>
  <c r="K96" i="5"/>
  <c r="J96" i="5"/>
  <c r="P95" i="5"/>
  <c r="O95" i="5"/>
  <c r="N95" i="5"/>
  <c r="M95" i="5"/>
  <c r="L95" i="5"/>
  <c r="K95" i="5"/>
  <c r="J95" i="5"/>
  <c r="P94" i="5"/>
  <c r="O94" i="5"/>
  <c r="N94" i="5"/>
  <c r="M94" i="5"/>
  <c r="L94" i="5"/>
  <c r="K94" i="5"/>
  <c r="J94" i="5"/>
  <c r="P93" i="5"/>
  <c r="O93" i="5"/>
  <c r="N93" i="5"/>
  <c r="M93" i="5"/>
  <c r="L93" i="5"/>
  <c r="K93" i="5"/>
  <c r="J93" i="5"/>
  <c r="P92" i="5"/>
  <c r="O92" i="5"/>
  <c r="N92" i="5"/>
  <c r="M92" i="5"/>
  <c r="L92" i="5"/>
  <c r="K92" i="5"/>
  <c r="J92" i="5"/>
  <c r="P91" i="5"/>
  <c r="O91" i="5"/>
  <c r="N91" i="5"/>
  <c r="M91" i="5"/>
  <c r="L91" i="5"/>
  <c r="K91" i="5"/>
  <c r="J91" i="5"/>
  <c r="P90" i="5"/>
  <c r="O90" i="5"/>
  <c r="N90" i="5"/>
  <c r="M90" i="5"/>
  <c r="L90" i="5"/>
  <c r="K90" i="5"/>
  <c r="J90" i="5"/>
  <c r="P89" i="5"/>
  <c r="O89" i="5"/>
  <c r="N89" i="5"/>
  <c r="M89" i="5"/>
  <c r="L89" i="5"/>
  <c r="K89" i="5"/>
  <c r="J89" i="5"/>
  <c r="P88" i="5"/>
  <c r="O88" i="5"/>
  <c r="N88" i="5"/>
  <c r="M88" i="5"/>
  <c r="L88" i="5"/>
  <c r="K88" i="5"/>
  <c r="J88" i="5"/>
  <c r="P87" i="5"/>
  <c r="O87" i="5"/>
  <c r="N87" i="5"/>
  <c r="M87" i="5"/>
  <c r="L87" i="5"/>
  <c r="K87" i="5"/>
  <c r="J87" i="5"/>
  <c r="P86" i="5"/>
  <c r="O86" i="5"/>
  <c r="N86" i="5"/>
  <c r="M86" i="5"/>
  <c r="L86" i="5"/>
  <c r="K86" i="5"/>
  <c r="J86" i="5"/>
  <c r="P85" i="5"/>
  <c r="O85" i="5"/>
  <c r="N85" i="5"/>
  <c r="M85" i="5"/>
  <c r="L85" i="5"/>
  <c r="K85" i="5"/>
  <c r="J85" i="5"/>
  <c r="P84" i="5"/>
  <c r="O84" i="5"/>
  <c r="N84" i="5"/>
  <c r="M84" i="5"/>
  <c r="L84" i="5"/>
  <c r="K84" i="5"/>
  <c r="J84" i="5"/>
  <c r="P83" i="5"/>
  <c r="O83" i="5"/>
  <c r="N83" i="5"/>
  <c r="M83" i="5"/>
  <c r="L83" i="5"/>
  <c r="K83" i="5"/>
  <c r="J83" i="5"/>
  <c r="P82" i="5"/>
  <c r="O82" i="5"/>
  <c r="N82" i="5"/>
  <c r="M82" i="5"/>
  <c r="L82" i="5"/>
  <c r="K82" i="5"/>
  <c r="J82" i="5"/>
  <c r="P81" i="5"/>
  <c r="O81" i="5"/>
  <c r="N81" i="5"/>
  <c r="M81" i="5"/>
  <c r="L81" i="5"/>
  <c r="K81" i="5"/>
  <c r="J81" i="5"/>
  <c r="P80" i="5"/>
  <c r="O80" i="5"/>
  <c r="N80" i="5"/>
  <c r="M80" i="5"/>
  <c r="L80" i="5"/>
  <c r="K80" i="5"/>
  <c r="J80" i="5"/>
  <c r="P79" i="5"/>
  <c r="O79" i="5"/>
  <c r="N79" i="5"/>
  <c r="M79" i="5"/>
  <c r="L79" i="5"/>
  <c r="K79" i="5"/>
  <c r="J79" i="5"/>
  <c r="P78" i="5"/>
  <c r="O78" i="5"/>
  <c r="N78" i="5"/>
  <c r="M78" i="5"/>
  <c r="L78" i="5"/>
  <c r="K78" i="5"/>
  <c r="J78" i="5"/>
  <c r="N77" i="5"/>
  <c r="M77" i="5"/>
  <c r="L77" i="5"/>
  <c r="K77" i="5"/>
  <c r="J77" i="5"/>
  <c r="N76" i="5"/>
  <c r="M76" i="5"/>
  <c r="L76" i="5"/>
  <c r="K76" i="5"/>
  <c r="J76" i="5"/>
  <c r="N75" i="5"/>
  <c r="M75" i="5"/>
  <c r="L75" i="5"/>
  <c r="K75" i="5"/>
  <c r="J75" i="5"/>
  <c r="N74" i="5"/>
  <c r="M74" i="5"/>
  <c r="L74" i="5"/>
  <c r="K74" i="5"/>
  <c r="J74" i="5"/>
  <c r="N73" i="5"/>
  <c r="M73" i="5"/>
  <c r="L73" i="5"/>
  <c r="K73" i="5"/>
  <c r="J73" i="5"/>
  <c r="N72" i="5"/>
  <c r="M72" i="5"/>
  <c r="L72" i="5"/>
  <c r="K72" i="5"/>
  <c r="J72" i="5"/>
  <c r="N71" i="5"/>
  <c r="M71" i="5"/>
  <c r="L71" i="5"/>
  <c r="K71" i="5"/>
  <c r="J71" i="5"/>
  <c r="N70" i="5"/>
  <c r="M70" i="5"/>
  <c r="L70" i="5"/>
  <c r="K70" i="5"/>
  <c r="J70" i="5"/>
  <c r="P63" i="5"/>
  <c r="O63" i="5"/>
  <c r="N63" i="5"/>
  <c r="M63" i="5"/>
  <c r="L63" i="5"/>
  <c r="K63" i="5"/>
  <c r="J63" i="5"/>
  <c r="P62" i="5"/>
  <c r="O62" i="5"/>
  <c r="N62" i="5"/>
  <c r="M62" i="5"/>
  <c r="L62" i="5"/>
  <c r="K62" i="5"/>
  <c r="J62" i="5"/>
  <c r="P61" i="5"/>
  <c r="O61" i="5"/>
  <c r="N61" i="5"/>
  <c r="M61" i="5"/>
  <c r="L61" i="5"/>
  <c r="K61" i="5"/>
  <c r="J61" i="5"/>
  <c r="P60" i="5"/>
  <c r="O60" i="5"/>
  <c r="N60" i="5"/>
  <c r="M60" i="5"/>
  <c r="L60" i="5"/>
  <c r="K60" i="5"/>
  <c r="J60" i="5"/>
  <c r="P59" i="5"/>
  <c r="O59" i="5"/>
  <c r="N59" i="5"/>
  <c r="M59" i="5"/>
  <c r="L59" i="5"/>
  <c r="K59" i="5"/>
  <c r="J59" i="5"/>
  <c r="P58" i="5"/>
  <c r="O58" i="5"/>
  <c r="N58" i="5"/>
  <c r="M58" i="5"/>
  <c r="L58" i="5"/>
  <c r="K58" i="5"/>
  <c r="J58" i="5"/>
  <c r="P57" i="5"/>
  <c r="O57" i="5"/>
  <c r="N57" i="5"/>
  <c r="M57" i="5"/>
  <c r="L57" i="5"/>
  <c r="K57" i="5"/>
  <c r="J57" i="5"/>
  <c r="P56" i="5"/>
  <c r="O56" i="5"/>
  <c r="N56" i="5"/>
  <c r="M56" i="5"/>
  <c r="L56" i="5"/>
  <c r="K56" i="5"/>
  <c r="J56" i="5"/>
  <c r="P55" i="5"/>
  <c r="O55" i="5"/>
  <c r="N55" i="5"/>
  <c r="M55" i="5"/>
  <c r="L55" i="5"/>
  <c r="K55" i="5"/>
  <c r="J55" i="5"/>
  <c r="P54" i="5"/>
  <c r="O54" i="5"/>
  <c r="N54" i="5"/>
  <c r="M54" i="5"/>
  <c r="L54" i="5"/>
  <c r="K54" i="5"/>
  <c r="J54" i="5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L18" i="5"/>
  <c r="M18" i="5" s="1"/>
  <c r="K18" i="5"/>
  <c r="P18" i="5" s="1"/>
  <c r="J18" i="5"/>
  <c r="L17" i="5"/>
  <c r="M17" i="5" s="1"/>
  <c r="K17" i="5"/>
  <c r="P17" i="5" s="1"/>
  <c r="J17" i="5"/>
  <c r="L16" i="5"/>
  <c r="M16" i="5" s="1"/>
  <c r="K16" i="5"/>
  <c r="P16" i="5" s="1"/>
  <c r="J16" i="5"/>
  <c r="L15" i="5"/>
  <c r="M15" i="5" s="1"/>
  <c r="K15" i="5"/>
  <c r="P15" i="5" s="1"/>
  <c r="J15" i="5"/>
  <c r="L14" i="5"/>
  <c r="M14" i="5" s="1"/>
  <c r="K14" i="5"/>
  <c r="P14" i="5" s="1"/>
  <c r="J14" i="5"/>
  <c r="P113" i="4"/>
  <c r="O113" i="4"/>
  <c r="N113" i="4"/>
  <c r="M113" i="4"/>
  <c r="L113" i="4"/>
  <c r="K113" i="4"/>
  <c r="J113" i="4"/>
  <c r="P112" i="4"/>
  <c r="O112" i="4"/>
  <c r="N112" i="4"/>
  <c r="M112" i="4"/>
  <c r="L112" i="4"/>
  <c r="K112" i="4"/>
  <c r="J112" i="4"/>
  <c r="P111" i="4"/>
  <c r="O111" i="4"/>
  <c r="N111" i="4"/>
  <c r="M111" i="4"/>
  <c r="L111" i="4"/>
  <c r="K111" i="4"/>
  <c r="J111" i="4"/>
  <c r="P110" i="4"/>
  <c r="O110" i="4"/>
  <c r="N110" i="4"/>
  <c r="M110" i="4"/>
  <c r="L110" i="4"/>
  <c r="K110" i="4"/>
  <c r="J110" i="4"/>
  <c r="P109" i="4"/>
  <c r="O109" i="4"/>
  <c r="N109" i="4"/>
  <c r="M109" i="4"/>
  <c r="L109" i="4"/>
  <c r="K109" i="4"/>
  <c r="J109" i="4"/>
  <c r="P108" i="4"/>
  <c r="O108" i="4"/>
  <c r="N108" i="4"/>
  <c r="M108" i="4"/>
  <c r="L108" i="4"/>
  <c r="K108" i="4"/>
  <c r="J108" i="4"/>
  <c r="P107" i="4"/>
  <c r="O107" i="4"/>
  <c r="N107" i="4"/>
  <c r="M107" i="4"/>
  <c r="L107" i="4"/>
  <c r="K107" i="4"/>
  <c r="J107" i="4"/>
  <c r="P106" i="4"/>
  <c r="O106" i="4"/>
  <c r="N106" i="4"/>
  <c r="M106" i="4"/>
  <c r="L106" i="4"/>
  <c r="K106" i="4"/>
  <c r="J106" i="4"/>
  <c r="P105" i="4"/>
  <c r="O105" i="4"/>
  <c r="N105" i="4"/>
  <c r="M105" i="4"/>
  <c r="L105" i="4"/>
  <c r="K105" i="4"/>
  <c r="J105" i="4"/>
  <c r="P104" i="4"/>
  <c r="O104" i="4"/>
  <c r="N104" i="4"/>
  <c r="M104" i="4"/>
  <c r="L104" i="4"/>
  <c r="K104" i="4"/>
  <c r="J104" i="4"/>
  <c r="P103" i="4"/>
  <c r="O103" i="4"/>
  <c r="N103" i="4"/>
  <c r="M103" i="4"/>
  <c r="L103" i="4"/>
  <c r="K103" i="4"/>
  <c r="J103" i="4"/>
  <c r="P102" i="4"/>
  <c r="O102" i="4"/>
  <c r="N102" i="4"/>
  <c r="M102" i="4"/>
  <c r="L102" i="4"/>
  <c r="K102" i="4"/>
  <c r="J102" i="4"/>
  <c r="P101" i="4"/>
  <c r="O101" i="4"/>
  <c r="N101" i="4"/>
  <c r="M101" i="4"/>
  <c r="L101" i="4"/>
  <c r="K101" i="4"/>
  <c r="J101" i="4"/>
  <c r="P100" i="4"/>
  <c r="O100" i="4"/>
  <c r="N100" i="4"/>
  <c r="M100" i="4"/>
  <c r="L100" i="4"/>
  <c r="K100" i="4"/>
  <c r="J100" i="4"/>
  <c r="P99" i="4"/>
  <c r="O99" i="4"/>
  <c r="N99" i="4"/>
  <c r="M99" i="4"/>
  <c r="L99" i="4"/>
  <c r="K99" i="4"/>
  <c r="J99" i="4"/>
  <c r="P98" i="4"/>
  <c r="O98" i="4"/>
  <c r="N98" i="4"/>
  <c r="M98" i="4"/>
  <c r="L98" i="4"/>
  <c r="K98" i="4"/>
  <c r="J98" i="4"/>
  <c r="P97" i="4"/>
  <c r="O97" i="4"/>
  <c r="N97" i="4"/>
  <c r="M97" i="4"/>
  <c r="L97" i="4"/>
  <c r="K97" i="4"/>
  <c r="J97" i="4"/>
  <c r="P96" i="4"/>
  <c r="O96" i="4"/>
  <c r="N96" i="4"/>
  <c r="M96" i="4"/>
  <c r="L96" i="4"/>
  <c r="K96" i="4"/>
  <c r="J96" i="4"/>
  <c r="P95" i="4"/>
  <c r="O95" i="4"/>
  <c r="N95" i="4"/>
  <c r="M95" i="4"/>
  <c r="L95" i="4"/>
  <c r="K95" i="4"/>
  <c r="J95" i="4"/>
  <c r="P94" i="4"/>
  <c r="O94" i="4"/>
  <c r="N94" i="4"/>
  <c r="M94" i="4"/>
  <c r="L94" i="4"/>
  <c r="K94" i="4"/>
  <c r="J94" i="4"/>
  <c r="P93" i="4"/>
  <c r="O93" i="4"/>
  <c r="N93" i="4"/>
  <c r="M93" i="4"/>
  <c r="L93" i="4"/>
  <c r="K93" i="4"/>
  <c r="J93" i="4"/>
  <c r="P92" i="4"/>
  <c r="O92" i="4"/>
  <c r="N92" i="4"/>
  <c r="M92" i="4"/>
  <c r="L92" i="4"/>
  <c r="K92" i="4"/>
  <c r="J92" i="4"/>
  <c r="P91" i="4"/>
  <c r="O91" i="4"/>
  <c r="N91" i="4"/>
  <c r="M91" i="4"/>
  <c r="L91" i="4"/>
  <c r="K91" i="4"/>
  <c r="J91" i="4"/>
  <c r="P90" i="4"/>
  <c r="O90" i="4"/>
  <c r="N90" i="4"/>
  <c r="M90" i="4"/>
  <c r="L90" i="4"/>
  <c r="K90" i="4"/>
  <c r="J90" i="4"/>
  <c r="P89" i="4"/>
  <c r="O89" i="4"/>
  <c r="N89" i="4"/>
  <c r="M89" i="4"/>
  <c r="L89" i="4"/>
  <c r="K89" i="4"/>
  <c r="J89" i="4"/>
  <c r="P88" i="4"/>
  <c r="O88" i="4"/>
  <c r="N88" i="4"/>
  <c r="M88" i="4"/>
  <c r="L88" i="4"/>
  <c r="K88" i="4"/>
  <c r="J88" i="4"/>
  <c r="P87" i="4"/>
  <c r="O87" i="4"/>
  <c r="N87" i="4"/>
  <c r="M87" i="4"/>
  <c r="L87" i="4"/>
  <c r="K87" i="4"/>
  <c r="J87" i="4"/>
  <c r="P86" i="4"/>
  <c r="O86" i="4"/>
  <c r="N86" i="4"/>
  <c r="M86" i="4"/>
  <c r="L86" i="4"/>
  <c r="K86" i="4"/>
  <c r="J86" i="4"/>
  <c r="P85" i="4"/>
  <c r="O85" i="4"/>
  <c r="N85" i="4"/>
  <c r="M85" i="4"/>
  <c r="L85" i="4"/>
  <c r="K85" i="4"/>
  <c r="J85" i="4"/>
  <c r="P84" i="4"/>
  <c r="O84" i="4"/>
  <c r="N84" i="4"/>
  <c r="M84" i="4"/>
  <c r="L84" i="4"/>
  <c r="K84" i="4"/>
  <c r="J84" i="4"/>
  <c r="P83" i="4"/>
  <c r="O83" i="4"/>
  <c r="N83" i="4"/>
  <c r="M83" i="4"/>
  <c r="L83" i="4"/>
  <c r="K83" i="4"/>
  <c r="J83" i="4"/>
  <c r="P82" i="4"/>
  <c r="O82" i="4"/>
  <c r="N82" i="4"/>
  <c r="M82" i="4"/>
  <c r="L82" i="4"/>
  <c r="K82" i="4"/>
  <c r="J82" i="4"/>
  <c r="P81" i="4"/>
  <c r="O81" i="4"/>
  <c r="N81" i="4"/>
  <c r="M81" i="4"/>
  <c r="L81" i="4"/>
  <c r="K81" i="4"/>
  <c r="J81" i="4"/>
  <c r="P80" i="4"/>
  <c r="O80" i="4"/>
  <c r="N80" i="4"/>
  <c r="M80" i="4"/>
  <c r="L80" i="4"/>
  <c r="K80" i="4"/>
  <c r="J80" i="4"/>
  <c r="P79" i="4"/>
  <c r="O79" i="4"/>
  <c r="N79" i="4"/>
  <c r="M79" i="4"/>
  <c r="L79" i="4"/>
  <c r="K79" i="4"/>
  <c r="J79" i="4"/>
  <c r="P78" i="4"/>
  <c r="O78" i="4"/>
  <c r="N78" i="4"/>
  <c r="M78" i="4"/>
  <c r="L78" i="4"/>
  <c r="K78" i="4"/>
  <c r="J78" i="4"/>
  <c r="N77" i="4"/>
  <c r="M77" i="4"/>
  <c r="L77" i="4"/>
  <c r="K77" i="4"/>
  <c r="J77" i="4"/>
  <c r="N76" i="4"/>
  <c r="M76" i="4"/>
  <c r="L76" i="4"/>
  <c r="K76" i="4"/>
  <c r="J76" i="4"/>
  <c r="N75" i="4"/>
  <c r="M75" i="4"/>
  <c r="L75" i="4"/>
  <c r="K75" i="4"/>
  <c r="J75" i="4"/>
  <c r="N74" i="4"/>
  <c r="M74" i="4"/>
  <c r="L74" i="4"/>
  <c r="K74" i="4"/>
  <c r="J74" i="4"/>
  <c r="N73" i="4"/>
  <c r="M73" i="4"/>
  <c r="L73" i="4"/>
  <c r="K73" i="4"/>
  <c r="J73" i="4"/>
  <c r="N72" i="4"/>
  <c r="M72" i="4"/>
  <c r="L72" i="4"/>
  <c r="K72" i="4"/>
  <c r="J72" i="4"/>
  <c r="N71" i="4"/>
  <c r="M71" i="4"/>
  <c r="L71" i="4"/>
  <c r="K71" i="4"/>
  <c r="J71" i="4"/>
  <c r="N70" i="4"/>
  <c r="M70" i="4"/>
  <c r="L70" i="4"/>
  <c r="K70" i="4"/>
  <c r="J70" i="4"/>
  <c r="P63" i="4"/>
  <c r="O63" i="4"/>
  <c r="N63" i="4"/>
  <c r="M63" i="4"/>
  <c r="L63" i="4"/>
  <c r="K63" i="4"/>
  <c r="J63" i="4"/>
  <c r="P62" i="4"/>
  <c r="O62" i="4"/>
  <c r="N62" i="4"/>
  <c r="M62" i="4"/>
  <c r="L62" i="4"/>
  <c r="K62" i="4"/>
  <c r="J62" i="4"/>
  <c r="P61" i="4"/>
  <c r="O61" i="4"/>
  <c r="N61" i="4"/>
  <c r="M61" i="4"/>
  <c r="L61" i="4"/>
  <c r="K61" i="4"/>
  <c r="J61" i="4"/>
  <c r="P60" i="4"/>
  <c r="O60" i="4"/>
  <c r="N60" i="4"/>
  <c r="M60" i="4"/>
  <c r="L60" i="4"/>
  <c r="K60" i="4"/>
  <c r="J60" i="4"/>
  <c r="P59" i="4"/>
  <c r="O59" i="4"/>
  <c r="N59" i="4"/>
  <c r="M59" i="4"/>
  <c r="L59" i="4"/>
  <c r="K59" i="4"/>
  <c r="J59" i="4"/>
  <c r="P58" i="4"/>
  <c r="O58" i="4"/>
  <c r="N58" i="4"/>
  <c r="M58" i="4"/>
  <c r="L58" i="4"/>
  <c r="K58" i="4"/>
  <c r="J58" i="4"/>
  <c r="P57" i="4"/>
  <c r="O57" i="4"/>
  <c r="N57" i="4"/>
  <c r="M57" i="4"/>
  <c r="L57" i="4"/>
  <c r="K57" i="4"/>
  <c r="J57" i="4"/>
  <c r="P56" i="4"/>
  <c r="O56" i="4"/>
  <c r="N56" i="4"/>
  <c r="M56" i="4"/>
  <c r="L56" i="4"/>
  <c r="K56" i="4"/>
  <c r="J56" i="4"/>
  <c r="P55" i="4"/>
  <c r="O55" i="4"/>
  <c r="N55" i="4"/>
  <c r="M55" i="4"/>
  <c r="L55" i="4"/>
  <c r="K55" i="4"/>
  <c r="J55" i="4"/>
  <c r="P54" i="4"/>
  <c r="O54" i="4"/>
  <c r="N54" i="4"/>
  <c r="M54" i="4"/>
  <c r="L54" i="4"/>
  <c r="K54" i="4"/>
  <c r="J54" i="4"/>
  <c r="P53" i="4"/>
  <c r="O53" i="4"/>
  <c r="N53" i="4"/>
  <c r="M53" i="4"/>
  <c r="L53" i="4"/>
  <c r="K53" i="4"/>
  <c r="J53" i="4"/>
  <c r="P52" i="4"/>
  <c r="O52" i="4"/>
  <c r="N52" i="4"/>
  <c r="M52" i="4"/>
  <c r="L52" i="4"/>
  <c r="K52" i="4"/>
  <c r="J52" i="4"/>
  <c r="P51" i="4"/>
  <c r="O51" i="4"/>
  <c r="N51" i="4"/>
  <c r="M51" i="4"/>
  <c r="L51" i="4"/>
  <c r="K51" i="4"/>
  <c r="J51" i="4"/>
  <c r="P50" i="4"/>
  <c r="O50" i="4"/>
  <c r="N50" i="4"/>
  <c r="M50" i="4"/>
  <c r="L50" i="4"/>
  <c r="K50" i="4"/>
  <c r="J50" i="4"/>
  <c r="P49" i="4"/>
  <c r="O49" i="4"/>
  <c r="N49" i="4"/>
  <c r="M49" i="4"/>
  <c r="L49" i="4"/>
  <c r="K49" i="4"/>
  <c r="J49" i="4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6" i="4"/>
  <c r="O46" i="4"/>
  <c r="N46" i="4"/>
  <c r="M46" i="4"/>
  <c r="L46" i="4"/>
  <c r="K46" i="4"/>
  <c r="J46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P37" i="4"/>
  <c r="O37" i="4"/>
  <c r="N37" i="4"/>
  <c r="M37" i="4"/>
  <c r="L37" i="4"/>
  <c r="K37" i="4"/>
  <c r="J37" i="4"/>
  <c r="P36" i="4"/>
  <c r="O36" i="4"/>
  <c r="N36" i="4"/>
  <c r="M36" i="4"/>
  <c r="L36" i="4"/>
  <c r="K36" i="4"/>
  <c r="J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L24" i="4"/>
  <c r="M24" i="4" s="1"/>
  <c r="K24" i="4"/>
  <c r="P24" i="4" s="1"/>
  <c r="J24" i="4"/>
  <c r="L23" i="4"/>
  <c r="M23" i="4" s="1"/>
  <c r="K23" i="4"/>
  <c r="P23" i="4" s="1"/>
  <c r="J23" i="4"/>
  <c r="L22" i="4"/>
  <c r="M22" i="4" s="1"/>
  <c r="K22" i="4"/>
  <c r="P22" i="4" s="1"/>
  <c r="J22" i="4"/>
  <c r="L21" i="4"/>
  <c r="M21" i="4" s="1"/>
  <c r="K21" i="4"/>
  <c r="P21" i="4" s="1"/>
  <c r="J21" i="4"/>
  <c r="L20" i="4"/>
  <c r="M20" i="4" s="1"/>
  <c r="K20" i="4"/>
  <c r="P20" i="4" s="1"/>
  <c r="J20" i="4"/>
  <c r="L19" i="4"/>
  <c r="M19" i="4" s="1"/>
  <c r="K19" i="4"/>
  <c r="P19" i="4" s="1"/>
  <c r="J19" i="4"/>
  <c r="L18" i="4"/>
  <c r="M18" i="4" s="1"/>
  <c r="K18" i="4"/>
  <c r="P18" i="4" s="1"/>
  <c r="J18" i="4"/>
  <c r="L17" i="4"/>
  <c r="M17" i="4" s="1"/>
  <c r="K17" i="4"/>
  <c r="P17" i="4" s="1"/>
  <c r="J17" i="4"/>
  <c r="L16" i="4"/>
  <c r="M16" i="4" s="1"/>
  <c r="K16" i="4"/>
  <c r="P16" i="4" s="1"/>
  <c r="J16" i="4"/>
  <c r="L15" i="4"/>
  <c r="M15" i="4" s="1"/>
  <c r="K15" i="4"/>
  <c r="P15" i="4" s="1"/>
  <c r="J15" i="4"/>
  <c r="L14" i="4"/>
  <c r="M14" i="4" s="1"/>
  <c r="K14" i="4"/>
  <c r="P14" i="4" s="1"/>
  <c r="J14" i="4"/>
  <c r="R112" i="3"/>
  <c r="Q112" i="3"/>
  <c r="P112" i="3"/>
  <c r="O112" i="3"/>
  <c r="N112" i="3"/>
  <c r="M112" i="3"/>
  <c r="L112" i="3"/>
  <c r="R111" i="3"/>
  <c r="Q111" i="3"/>
  <c r="P111" i="3"/>
  <c r="O111" i="3"/>
  <c r="N111" i="3"/>
  <c r="M111" i="3"/>
  <c r="L111" i="3"/>
  <c r="R110" i="3"/>
  <c r="Q110" i="3"/>
  <c r="P110" i="3"/>
  <c r="O110" i="3"/>
  <c r="N110" i="3"/>
  <c r="M110" i="3"/>
  <c r="L110" i="3"/>
  <c r="R109" i="3"/>
  <c r="Q109" i="3"/>
  <c r="P109" i="3"/>
  <c r="O109" i="3"/>
  <c r="N109" i="3"/>
  <c r="M109" i="3"/>
  <c r="L109" i="3"/>
  <c r="R108" i="3"/>
  <c r="Q108" i="3"/>
  <c r="P108" i="3"/>
  <c r="O108" i="3"/>
  <c r="N108" i="3"/>
  <c r="M108" i="3"/>
  <c r="L108" i="3"/>
  <c r="R107" i="3"/>
  <c r="Q107" i="3"/>
  <c r="P107" i="3"/>
  <c r="O107" i="3"/>
  <c r="N107" i="3"/>
  <c r="M107" i="3"/>
  <c r="L107" i="3"/>
  <c r="R106" i="3"/>
  <c r="Q106" i="3"/>
  <c r="P106" i="3"/>
  <c r="O106" i="3"/>
  <c r="N106" i="3"/>
  <c r="M106" i="3"/>
  <c r="L106" i="3"/>
  <c r="R105" i="3"/>
  <c r="Q105" i="3"/>
  <c r="P105" i="3"/>
  <c r="O105" i="3"/>
  <c r="N105" i="3"/>
  <c r="M105" i="3"/>
  <c r="L105" i="3"/>
  <c r="R104" i="3"/>
  <c r="Q104" i="3"/>
  <c r="P104" i="3"/>
  <c r="O104" i="3"/>
  <c r="N104" i="3"/>
  <c r="M104" i="3"/>
  <c r="L104" i="3"/>
  <c r="R103" i="3"/>
  <c r="Q103" i="3"/>
  <c r="P103" i="3"/>
  <c r="O103" i="3"/>
  <c r="N103" i="3"/>
  <c r="M103" i="3"/>
  <c r="L103" i="3"/>
  <c r="R102" i="3"/>
  <c r="Q102" i="3"/>
  <c r="P102" i="3"/>
  <c r="O102" i="3"/>
  <c r="N102" i="3"/>
  <c r="M102" i="3"/>
  <c r="L102" i="3"/>
  <c r="R101" i="3"/>
  <c r="Q101" i="3"/>
  <c r="P101" i="3"/>
  <c r="O101" i="3"/>
  <c r="N101" i="3"/>
  <c r="M101" i="3"/>
  <c r="L101" i="3"/>
  <c r="R100" i="3"/>
  <c r="Q100" i="3"/>
  <c r="P100" i="3"/>
  <c r="O100" i="3"/>
  <c r="N100" i="3"/>
  <c r="M100" i="3"/>
  <c r="L100" i="3"/>
  <c r="R99" i="3"/>
  <c r="Q99" i="3"/>
  <c r="P99" i="3"/>
  <c r="O99" i="3"/>
  <c r="N99" i="3"/>
  <c r="M99" i="3"/>
  <c r="L99" i="3"/>
  <c r="R98" i="3"/>
  <c r="Q98" i="3"/>
  <c r="P98" i="3"/>
  <c r="O98" i="3"/>
  <c r="N98" i="3"/>
  <c r="M98" i="3"/>
  <c r="L98" i="3"/>
  <c r="R97" i="3"/>
  <c r="Q97" i="3"/>
  <c r="P97" i="3"/>
  <c r="O97" i="3"/>
  <c r="N97" i="3"/>
  <c r="M97" i="3"/>
  <c r="L97" i="3"/>
  <c r="R96" i="3"/>
  <c r="Q96" i="3"/>
  <c r="P96" i="3"/>
  <c r="O96" i="3"/>
  <c r="N96" i="3"/>
  <c r="M96" i="3"/>
  <c r="L96" i="3"/>
  <c r="R95" i="3"/>
  <c r="Q95" i="3"/>
  <c r="P95" i="3"/>
  <c r="O95" i="3"/>
  <c r="N95" i="3"/>
  <c r="M95" i="3"/>
  <c r="L95" i="3"/>
  <c r="R94" i="3"/>
  <c r="Q94" i="3"/>
  <c r="P94" i="3"/>
  <c r="O94" i="3"/>
  <c r="N94" i="3"/>
  <c r="M94" i="3"/>
  <c r="L94" i="3"/>
  <c r="R93" i="3"/>
  <c r="Q93" i="3"/>
  <c r="P93" i="3"/>
  <c r="O93" i="3"/>
  <c r="N93" i="3"/>
  <c r="M93" i="3"/>
  <c r="L93" i="3"/>
  <c r="R92" i="3"/>
  <c r="Q92" i="3"/>
  <c r="P92" i="3"/>
  <c r="O92" i="3"/>
  <c r="N92" i="3"/>
  <c r="M92" i="3"/>
  <c r="L92" i="3"/>
  <c r="R91" i="3"/>
  <c r="Q91" i="3"/>
  <c r="P91" i="3"/>
  <c r="O91" i="3"/>
  <c r="N91" i="3"/>
  <c r="M91" i="3"/>
  <c r="L91" i="3"/>
  <c r="R90" i="3"/>
  <c r="Q90" i="3"/>
  <c r="P90" i="3"/>
  <c r="O90" i="3"/>
  <c r="N90" i="3"/>
  <c r="M90" i="3"/>
  <c r="L90" i="3"/>
  <c r="R89" i="3"/>
  <c r="Q89" i="3"/>
  <c r="P89" i="3"/>
  <c r="O89" i="3"/>
  <c r="N89" i="3"/>
  <c r="M89" i="3"/>
  <c r="L89" i="3"/>
  <c r="R88" i="3"/>
  <c r="Q88" i="3"/>
  <c r="P88" i="3"/>
  <c r="O88" i="3"/>
  <c r="N88" i="3"/>
  <c r="M88" i="3"/>
  <c r="L88" i="3"/>
  <c r="R87" i="3"/>
  <c r="Q87" i="3"/>
  <c r="P87" i="3"/>
  <c r="O87" i="3"/>
  <c r="N87" i="3"/>
  <c r="M87" i="3"/>
  <c r="L87" i="3"/>
  <c r="R86" i="3"/>
  <c r="Q86" i="3"/>
  <c r="P86" i="3"/>
  <c r="O86" i="3"/>
  <c r="N86" i="3"/>
  <c r="M86" i="3"/>
  <c r="L86" i="3"/>
  <c r="R85" i="3"/>
  <c r="Q85" i="3"/>
  <c r="P85" i="3"/>
  <c r="O85" i="3"/>
  <c r="N85" i="3"/>
  <c r="M85" i="3"/>
  <c r="L85" i="3"/>
  <c r="R84" i="3"/>
  <c r="Q84" i="3"/>
  <c r="P84" i="3"/>
  <c r="O84" i="3"/>
  <c r="N84" i="3"/>
  <c r="M84" i="3"/>
  <c r="L84" i="3"/>
  <c r="R83" i="3"/>
  <c r="Q83" i="3"/>
  <c r="P83" i="3"/>
  <c r="O83" i="3"/>
  <c r="N83" i="3"/>
  <c r="M83" i="3"/>
  <c r="L83" i="3"/>
  <c r="R82" i="3"/>
  <c r="Q82" i="3"/>
  <c r="P82" i="3"/>
  <c r="O82" i="3"/>
  <c r="N82" i="3"/>
  <c r="M82" i="3"/>
  <c r="L82" i="3"/>
  <c r="R81" i="3"/>
  <c r="Q81" i="3"/>
  <c r="P81" i="3"/>
  <c r="O81" i="3"/>
  <c r="N81" i="3"/>
  <c r="M81" i="3"/>
  <c r="L81" i="3"/>
  <c r="R80" i="3"/>
  <c r="Q80" i="3"/>
  <c r="P80" i="3"/>
  <c r="O80" i="3"/>
  <c r="N80" i="3"/>
  <c r="M80" i="3"/>
  <c r="L80" i="3"/>
  <c r="R79" i="3"/>
  <c r="Q79" i="3"/>
  <c r="P79" i="3"/>
  <c r="O79" i="3"/>
  <c r="N79" i="3"/>
  <c r="M79" i="3"/>
  <c r="L79" i="3"/>
  <c r="R78" i="3"/>
  <c r="Q78" i="3"/>
  <c r="P78" i="3"/>
  <c r="O78" i="3"/>
  <c r="N78" i="3"/>
  <c r="M78" i="3"/>
  <c r="L78" i="3"/>
  <c r="P77" i="3"/>
  <c r="P76" i="3"/>
  <c r="P75" i="3"/>
  <c r="P74" i="3"/>
  <c r="P73" i="3"/>
  <c r="P72" i="3"/>
  <c r="P71" i="3"/>
  <c r="P70" i="3"/>
  <c r="P69" i="3"/>
  <c r="R63" i="3"/>
  <c r="Q63" i="3"/>
  <c r="P63" i="3"/>
  <c r="O63" i="3"/>
  <c r="N63" i="3"/>
  <c r="M63" i="3"/>
  <c r="L63" i="3"/>
  <c r="R62" i="3"/>
  <c r="Q62" i="3"/>
  <c r="P62" i="3"/>
  <c r="O62" i="3"/>
  <c r="N62" i="3"/>
  <c r="M62" i="3"/>
  <c r="L62" i="3"/>
  <c r="R61" i="3"/>
  <c r="Q61" i="3"/>
  <c r="P61" i="3"/>
  <c r="O61" i="3"/>
  <c r="N61" i="3"/>
  <c r="M61" i="3"/>
  <c r="L61" i="3"/>
  <c r="R60" i="3"/>
  <c r="Q60" i="3"/>
  <c r="P60" i="3"/>
  <c r="O60" i="3"/>
  <c r="N60" i="3"/>
  <c r="M60" i="3"/>
  <c r="L60" i="3"/>
  <c r="R59" i="3"/>
  <c r="Q59" i="3"/>
  <c r="P59" i="3"/>
  <c r="O59" i="3"/>
  <c r="N59" i="3"/>
  <c r="M59" i="3"/>
  <c r="L59" i="3"/>
  <c r="R58" i="3"/>
  <c r="Q58" i="3"/>
  <c r="P58" i="3"/>
  <c r="O58" i="3"/>
  <c r="N58" i="3"/>
  <c r="M58" i="3"/>
  <c r="L58" i="3"/>
  <c r="R57" i="3"/>
  <c r="Q57" i="3"/>
  <c r="P57" i="3"/>
  <c r="O57" i="3"/>
  <c r="N57" i="3"/>
  <c r="M57" i="3"/>
  <c r="L57" i="3"/>
  <c r="R56" i="3"/>
  <c r="Q56" i="3"/>
  <c r="P56" i="3"/>
  <c r="O56" i="3"/>
  <c r="N56" i="3"/>
  <c r="M56" i="3"/>
  <c r="L56" i="3"/>
  <c r="R55" i="3"/>
  <c r="Q55" i="3"/>
  <c r="P55" i="3"/>
  <c r="O55" i="3"/>
  <c r="N55" i="3"/>
  <c r="M55" i="3"/>
  <c r="L55" i="3"/>
  <c r="R54" i="3"/>
  <c r="Q54" i="3"/>
  <c r="P54" i="3"/>
  <c r="O54" i="3"/>
  <c r="N54" i="3"/>
  <c r="M54" i="3"/>
  <c r="L54" i="3"/>
  <c r="R53" i="3"/>
  <c r="Q53" i="3"/>
  <c r="P53" i="3"/>
  <c r="O53" i="3"/>
  <c r="N53" i="3"/>
  <c r="M53" i="3"/>
  <c r="L53" i="3"/>
  <c r="R52" i="3"/>
  <c r="Q52" i="3"/>
  <c r="P52" i="3"/>
  <c r="O52" i="3"/>
  <c r="N52" i="3"/>
  <c r="M52" i="3"/>
  <c r="L52" i="3"/>
  <c r="R51" i="3"/>
  <c r="Q51" i="3"/>
  <c r="P51" i="3"/>
  <c r="O51" i="3"/>
  <c r="N51" i="3"/>
  <c r="M51" i="3"/>
  <c r="L51" i="3"/>
  <c r="R50" i="3"/>
  <c r="Q50" i="3"/>
  <c r="P50" i="3"/>
  <c r="O50" i="3"/>
  <c r="N50" i="3"/>
  <c r="M50" i="3"/>
  <c r="L50" i="3"/>
  <c r="R49" i="3"/>
  <c r="Q49" i="3"/>
  <c r="P49" i="3"/>
  <c r="O49" i="3"/>
  <c r="N49" i="3"/>
  <c r="M49" i="3"/>
  <c r="L49" i="3"/>
  <c r="R48" i="3"/>
  <c r="Q48" i="3"/>
  <c r="P48" i="3"/>
  <c r="O48" i="3"/>
  <c r="N48" i="3"/>
  <c r="M48" i="3"/>
  <c r="L48" i="3"/>
  <c r="R47" i="3"/>
  <c r="Q47" i="3"/>
  <c r="P47" i="3"/>
  <c r="O47" i="3"/>
  <c r="N47" i="3"/>
  <c r="M47" i="3"/>
  <c r="L47" i="3"/>
  <c r="R46" i="3"/>
  <c r="Q46" i="3"/>
  <c r="P46" i="3"/>
  <c r="O46" i="3"/>
  <c r="N46" i="3"/>
  <c r="M46" i="3"/>
  <c r="L46" i="3"/>
  <c r="R45" i="3"/>
  <c r="Q45" i="3"/>
  <c r="P45" i="3"/>
  <c r="O45" i="3"/>
  <c r="N45" i="3"/>
  <c r="M45" i="3"/>
  <c r="L45" i="3"/>
  <c r="R44" i="3"/>
  <c r="Q44" i="3"/>
  <c r="P44" i="3"/>
  <c r="O44" i="3"/>
  <c r="N44" i="3"/>
  <c r="M44" i="3"/>
  <c r="L44" i="3"/>
  <c r="R43" i="3"/>
  <c r="Q43" i="3"/>
  <c r="P43" i="3"/>
  <c r="O43" i="3"/>
  <c r="N43" i="3"/>
  <c r="M43" i="3"/>
  <c r="L43" i="3"/>
  <c r="R42" i="3"/>
  <c r="Q42" i="3"/>
  <c r="P42" i="3"/>
  <c r="O42" i="3"/>
  <c r="N42" i="3"/>
  <c r="M42" i="3"/>
  <c r="L42" i="3"/>
  <c r="R41" i="3"/>
  <c r="Q41" i="3"/>
  <c r="P41" i="3"/>
  <c r="O41" i="3"/>
  <c r="N41" i="3"/>
  <c r="M41" i="3"/>
  <c r="L41" i="3"/>
  <c r="R40" i="3"/>
  <c r="Q40" i="3"/>
  <c r="P40" i="3"/>
  <c r="O40" i="3"/>
  <c r="N40" i="3"/>
  <c r="M40" i="3"/>
  <c r="L40" i="3"/>
  <c r="R39" i="3"/>
  <c r="Q39" i="3"/>
  <c r="P39" i="3"/>
  <c r="O39" i="3"/>
  <c r="N39" i="3"/>
  <c r="M39" i="3"/>
  <c r="L39" i="3"/>
  <c r="R38" i="3"/>
  <c r="Q38" i="3"/>
  <c r="P38" i="3"/>
  <c r="O38" i="3"/>
  <c r="N38" i="3"/>
  <c r="M38" i="3"/>
  <c r="L38" i="3"/>
  <c r="R37" i="3"/>
  <c r="Q37" i="3"/>
  <c r="P37" i="3"/>
  <c r="O37" i="3"/>
  <c r="N37" i="3"/>
  <c r="M37" i="3"/>
  <c r="L37" i="3"/>
  <c r="R36" i="3"/>
  <c r="Q36" i="3"/>
  <c r="P36" i="3"/>
  <c r="O36" i="3"/>
  <c r="N36" i="3"/>
  <c r="M36" i="3"/>
  <c r="L36" i="3"/>
  <c r="R35" i="3"/>
  <c r="Q35" i="3"/>
  <c r="P35" i="3"/>
  <c r="O35" i="3"/>
  <c r="N35" i="3"/>
  <c r="M35" i="3"/>
  <c r="L35" i="3"/>
  <c r="R34" i="3"/>
  <c r="Q34" i="3"/>
  <c r="P34" i="3"/>
  <c r="O34" i="3"/>
  <c r="N34" i="3"/>
  <c r="M34" i="3"/>
  <c r="L34" i="3"/>
  <c r="R33" i="3"/>
  <c r="Q33" i="3"/>
  <c r="P33" i="3"/>
  <c r="O33" i="3"/>
  <c r="N33" i="3"/>
  <c r="M33" i="3"/>
  <c r="L33" i="3"/>
  <c r="R32" i="3"/>
  <c r="Q32" i="3"/>
  <c r="P32" i="3"/>
  <c r="O32" i="3"/>
  <c r="N32" i="3"/>
  <c r="M32" i="3"/>
  <c r="L32" i="3"/>
  <c r="R31" i="3"/>
  <c r="Q31" i="3"/>
  <c r="P31" i="3"/>
  <c r="O31" i="3"/>
  <c r="N31" i="3"/>
  <c r="M31" i="3"/>
  <c r="L31" i="3"/>
  <c r="R30" i="3"/>
  <c r="Q30" i="3"/>
  <c r="P30" i="3"/>
  <c r="O30" i="3"/>
  <c r="N30" i="3"/>
  <c r="M30" i="3"/>
  <c r="L30" i="3"/>
  <c r="R29" i="3"/>
  <c r="Q29" i="3"/>
  <c r="P29" i="3"/>
  <c r="O29" i="3"/>
  <c r="N29" i="3"/>
  <c r="M29" i="3"/>
  <c r="L29" i="3"/>
  <c r="R28" i="3"/>
  <c r="Q28" i="3"/>
  <c r="P28" i="3"/>
  <c r="O28" i="3"/>
  <c r="N28" i="3"/>
  <c r="M28" i="3"/>
  <c r="L28" i="3"/>
  <c r="R27" i="3"/>
  <c r="Q27" i="3"/>
  <c r="P27" i="3"/>
  <c r="O27" i="3"/>
  <c r="N27" i="3"/>
  <c r="M27" i="3"/>
  <c r="L27" i="3"/>
  <c r="R26" i="3"/>
  <c r="Q26" i="3"/>
  <c r="P26" i="3"/>
  <c r="O26" i="3"/>
  <c r="N26" i="3"/>
  <c r="M26" i="3"/>
  <c r="L26" i="3"/>
  <c r="R25" i="3"/>
  <c r="Q25" i="3"/>
  <c r="P25" i="3"/>
  <c r="O25" i="3"/>
  <c r="N25" i="3"/>
  <c r="M25" i="3"/>
  <c r="L25" i="3"/>
  <c r="R24" i="3"/>
  <c r="Q24" i="3"/>
  <c r="P24" i="3"/>
  <c r="O24" i="3"/>
  <c r="N24" i="3"/>
  <c r="M24" i="3"/>
  <c r="L24" i="3"/>
  <c r="R23" i="3"/>
  <c r="Q23" i="3"/>
  <c r="P23" i="3"/>
  <c r="O23" i="3"/>
  <c r="N23" i="3"/>
  <c r="M23" i="3"/>
  <c r="L23" i="3"/>
  <c r="R22" i="3"/>
  <c r="Q22" i="3"/>
  <c r="P22" i="3"/>
  <c r="O22" i="3"/>
  <c r="N22" i="3"/>
  <c r="M22" i="3"/>
  <c r="L22" i="3"/>
  <c r="R21" i="3"/>
  <c r="Q21" i="3"/>
  <c r="P21" i="3"/>
  <c r="O21" i="3"/>
  <c r="N21" i="3"/>
  <c r="M21" i="3"/>
  <c r="L21" i="3"/>
  <c r="N20" i="3"/>
  <c r="O20" i="3" s="1"/>
  <c r="M20" i="3"/>
  <c r="R20" i="3" s="1"/>
  <c r="L20" i="3"/>
  <c r="N19" i="3"/>
  <c r="O19" i="3" s="1"/>
  <c r="M19" i="3"/>
  <c r="R19" i="3" s="1"/>
  <c r="L19" i="3"/>
  <c r="N18" i="3"/>
  <c r="O18" i="3" s="1"/>
  <c r="M18" i="3"/>
  <c r="R18" i="3" s="1"/>
  <c r="L18" i="3"/>
  <c r="N17" i="3"/>
  <c r="O17" i="3" s="1"/>
  <c r="M17" i="3"/>
  <c r="R17" i="3" s="1"/>
  <c r="L17" i="3"/>
  <c r="N16" i="3"/>
  <c r="O16" i="3" s="1"/>
  <c r="M16" i="3"/>
  <c r="R16" i="3" s="1"/>
  <c r="L16" i="3"/>
  <c r="N15" i="3"/>
  <c r="O15" i="3" s="1"/>
  <c r="M15" i="3"/>
  <c r="R15" i="3" s="1"/>
  <c r="L15" i="3"/>
  <c r="N14" i="3"/>
  <c r="O14" i="3" s="1"/>
  <c r="M14" i="3"/>
  <c r="R14" i="3" s="1"/>
  <c r="L14" i="3"/>
  <c r="R113" i="2"/>
  <c r="Q113" i="2"/>
  <c r="P113" i="2"/>
  <c r="O113" i="2"/>
  <c r="N113" i="2"/>
  <c r="M113" i="2"/>
  <c r="L113" i="2"/>
  <c r="R112" i="2"/>
  <c r="Q112" i="2"/>
  <c r="P112" i="2"/>
  <c r="O112" i="2"/>
  <c r="N112" i="2"/>
  <c r="M112" i="2"/>
  <c r="L112" i="2"/>
  <c r="R111" i="2"/>
  <c r="Q111" i="2"/>
  <c r="P111" i="2"/>
  <c r="O111" i="2"/>
  <c r="N111" i="2"/>
  <c r="M111" i="2"/>
  <c r="L111" i="2"/>
  <c r="R110" i="2"/>
  <c r="Q110" i="2"/>
  <c r="P110" i="2"/>
  <c r="O110" i="2"/>
  <c r="N110" i="2"/>
  <c r="M110" i="2"/>
  <c r="L110" i="2"/>
  <c r="R109" i="2"/>
  <c r="Q109" i="2"/>
  <c r="P109" i="2"/>
  <c r="O109" i="2"/>
  <c r="N109" i="2"/>
  <c r="M109" i="2"/>
  <c r="L109" i="2"/>
  <c r="R108" i="2"/>
  <c r="Q108" i="2"/>
  <c r="P108" i="2"/>
  <c r="O108" i="2"/>
  <c r="N108" i="2"/>
  <c r="M108" i="2"/>
  <c r="L108" i="2"/>
  <c r="R107" i="2"/>
  <c r="Q107" i="2"/>
  <c r="P107" i="2"/>
  <c r="O107" i="2"/>
  <c r="N107" i="2"/>
  <c r="M107" i="2"/>
  <c r="L107" i="2"/>
  <c r="R106" i="2"/>
  <c r="Q106" i="2"/>
  <c r="P106" i="2"/>
  <c r="O106" i="2"/>
  <c r="N106" i="2"/>
  <c r="M106" i="2"/>
  <c r="L106" i="2"/>
  <c r="R105" i="2"/>
  <c r="Q105" i="2"/>
  <c r="P105" i="2"/>
  <c r="O105" i="2"/>
  <c r="N105" i="2"/>
  <c r="M105" i="2"/>
  <c r="L105" i="2"/>
  <c r="R104" i="2"/>
  <c r="Q104" i="2"/>
  <c r="P104" i="2"/>
  <c r="O104" i="2"/>
  <c r="N104" i="2"/>
  <c r="M104" i="2"/>
  <c r="L104" i="2"/>
  <c r="R103" i="2"/>
  <c r="Q103" i="2"/>
  <c r="P103" i="2"/>
  <c r="O103" i="2"/>
  <c r="N103" i="2"/>
  <c r="M103" i="2"/>
  <c r="L103" i="2"/>
  <c r="R102" i="2"/>
  <c r="Q102" i="2"/>
  <c r="P102" i="2"/>
  <c r="O102" i="2"/>
  <c r="N102" i="2"/>
  <c r="M102" i="2"/>
  <c r="L102" i="2"/>
  <c r="R101" i="2"/>
  <c r="Q101" i="2"/>
  <c r="P101" i="2"/>
  <c r="O101" i="2"/>
  <c r="N101" i="2"/>
  <c r="M101" i="2"/>
  <c r="L101" i="2"/>
  <c r="R100" i="2"/>
  <c r="Q100" i="2"/>
  <c r="P100" i="2"/>
  <c r="O100" i="2"/>
  <c r="N100" i="2"/>
  <c r="M100" i="2"/>
  <c r="L100" i="2"/>
  <c r="R99" i="2"/>
  <c r="Q99" i="2"/>
  <c r="P99" i="2"/>
  <c r="O99" i="2"/>
  <c r="N99" i="2"/>
  <c r="M99" i="2"/>
  <c r="L99" i="2"/>
  <c r="R98" i="2"/>
  <c r="Q98" i="2"/>
  <c r="P98" i="2"/>
  <c r="O98" i="2"/>
  <c r="N98" i="2"/>
  <c r="M98" i="2"/>
  <c r="L98" i="2"/>
  <c r="R97" i="2"/>
  <c r="Q97" i="2"/>
  <c r="P97" i="2"/>
  <c r="O97" i="2"/>
  <c r="N97" i="2"/>
  <c r="M97" i="2"/>
  <c r="L97" i="2"/>
  <c r="R96" i="2"/>
  <c r="Q96" i="2"/>
  <c r="P96" i="2"/>
  <c r="O96" i="2"/>
  <c r="N96" i="2"/>
  <c r="M96" i="2"/>
  <c r="L96" i="2"/>
  <c r="R95" i="2"/>
  <c r="Q95" i="2"/>
  <c r="P95" i="2"/>
  <c r="O95" i="2"/>
  <c r="N95" i="2"/>
  <c r="M95" i="2"/>
  <c r="L95" i="2"/>
  <c r="R94" i="2"/>
  <c r="Q94" i="2"/>
  <c r="P94" i="2"/>
  <c r="O94" i="2"/>
  <c r="N94" i="2"/>
  <c r="M94" i="2"/>
  <c r="L94" i="2"/>
  <c r="R93" i="2"/>
  <c r="Q93" i="2"/>
  <c r="P93" i="2"/>
  <c r="O93" i="2"/>
  <c r="N93" i="2"/>
  <c r="M93" i="2"/>
  <c r="L93" i="2"/>
  <c r="R92" i="2"/>
  <c r="Q92" i="2"/>
  <c r="P92" i="2"/>
  <c r="O92" i="2"/>
  <c r="N92" i="2"/>
  <c r="M92" i="2"/>
  <c r="L92" i="2"/>
  <c r="R91" i="2"/>
  <c r="Q91" i="2"/>
  <c r="P91" i="2"/>
  <c r="O91" i="2"/>
  <c r="N91" i="2"/>
  <c r="M91" i="2"/>
  <c r="L91" i="2"/>
  <c r="R90" i="2"/>
  <c r="Q90" i="2"/>
  <c r="P90" i="2"/>
  <c r="O90" i="2"/>
  <c r="N90" i="2"/>
  <c r="M90" i="2"/>
  <c r="L90" i="2"/>
  <c r="R89" i="2"/>
  <c r="Q89" i="2"/>
  <c r="P89" i="2"/>
  <c r="O89" i="2"/>
  <c r="N89" i="2"/>
  <c r="M89" i="2"/>
  <c r="L89" i="2"/>
  <c r="R88" i="2"/>
  <c r="Q88" i="2"/>
  <c r="P88" i="2"/>
  <c r="O88" i="2"/>
  <c r="N88" i="2"/>
  <c r="M88" i="2"/>
  <c r="L88" i="2"/>
  <c r="R87" i="2"/>
  <c r="Q87" i="2"/>
  <c r="P87" i="2"/>
  <c r="O87" i="2"/>
  <c r="N87" i="2"/>
  <c r="M87" i="2"/>
  <c r="L87" i="2"/>
  <c r="R86" i="2"/>
  <c r="Q86" i="2"/>
  <c r="P86" i="2"/>
  <c r="O86" i="2"/>
  <c r="N86" i="2"/>
  <c r="M86" i="2"/>
  <c r="L86" i="2"/>
  <c r="R85" i="2"/>
  <c r="Q85" i="2"/>
  <c r="P85" i="2"/>
  <c r="O85" i="2"/>
  <c r="N85" i="2"/>
  <c r="M85" i="2"/>
  <c r="L85" i="2"/>
  <c r="R84" i="2"/>
  <c r="Q84" i="2"/>
  <c r="P84" i="2"/>
  <c r="O84" i="2"/>
  <c r="N84" i="2"/>
  <c r="M84" i="2"/>
  <c r="L84" i="2"/>
  <c r="R83" i="2"/>
  <c r="Q83" i="2"/>
  <c r="P83" i="2"/>
  <c r="O83" i="2"/>
  <c r="N83" i="2"/>
  <c r="M83" i="2"/>
  <c r="L83" i="2"/>
  <c r="R82" i="2"/>
  <c r="Q82" i="2"/>
  <c r="P82" i="2"/>
  <c r="O82" i="2"/>
  <c r="N82" i="2"/>
  <c r="M82" i="2"/>
  <c r="L82" i="2"/>
  <c r="R81" i="2"/>
  <c r="Q81" i="2"/>
  <c r="P81" i="2"/>
  <c r="O81" i="2"/>
  <c r="N81" i="2"/>
  <c r="M81" i="2"/>
  <c r="L81" i="2"/>
  <c r="R80" i="2"/>
  <c r="Q80" i="2"/>
  <c r="P80" i="2"/>
  <c r="O80" i="2"/>
  <c r="N80" i="2"/>
  <c r="M80" i="2"/>
  <c r="L80" i="2"/>
  <c r="R79" i="2"/>
  <c r="P79" i="2"/>
  <c r="O79" i="2"/>
  <c r="N79" i="2"/>
  <c r="M79" i="2"/>
  <c r="L79" i="2"/>
  <c r="R78" i="2"/>
  <c r="P78" i="2"/>
  <c r="O78" i="2"/>
  <c r="N78" i="2"/>
  <c r="M78" i="2"/>
  <c r="L78" i="2"/>
  <c r="P77" i="2"/>
  <c r="O77" i="2"/>
  <c r="N77" i="2"/>
  <c r="M77" i="2"/>
  <c r="L77" i="2"/>
  <c r="P76" i="2"/>
  <c r="O76" i="2"/>
  <c r="N76" i="2"/>
  <c r="M76" i="2"/>
  <c r="L76" i="2"/>
  <c r="P75" i="2"/>
  <c r="O75" i="2"/>
  <c r="N75" i="2"/>
  <c r="M75" i="2"/>
  <c r="L75" i="2"/>
  <c r="P74" i="2"/>
  <c r="O74" i="2"/>
  <c r="N74" i="2"/>
  <c r="M74" i="2"/>
  <c r="L74" i="2"/>
  <c r="P73" i="2"/>
  <c r="O73" i="2"/>
  <c r="N73" i="2"/>
  <c r="M73" i="2"/>
  <c r="L73" i="2"/>
  <c r="P72" i="2"/>
  <c r="O72" i="2"/>
  <c r="N72" i="2"/>
  <c r="M72" i="2"/>
  <c r="L72" i="2"/>
  <c r="P71" i="2"/>
  <c r="O71" i="2"/>
  <c r="N71" i="2"/>
  <c r="M71" i="2"/>
  <c r="L71" i="2"/>
  <c r="P70" i="2"/>
  <c r="O70" i="2"/>
  <c r="N70" i="2"/>
  <c r="M70" i="2"/>
  <c r="L70" i="2"/>
  <c r="R63" i="2"/>
  <c r="Q63" i="2"/>
  <c r="P63" i="2"/>
  <c r="O63" i="2"/>
  <c r="N63" i="2"/>
  <c r="M63" i="2"/>
  <c r="L63" i="2"/>
  <c r="R62" i="2"/>
  <c r="Q62" i="2"/>
  <c r="P62" i="2"/>
  <c r="O62" i="2"/>
  <c r="N62" i="2"/>
  <c r="M62" i="2"/>
  <c r="L62" i="2"/>
  <c r="R61" i="2"/>
  <c r="Q61" i="2"/>
  <c r="P61" i="2"/>
  <c r="O61" i="2"/>
  <c r="N61" i="2"/>
  <c r="M61" i="2"/>
  <c r="L61" i="2"/>
  <c r="R60" i="2"/>
  <c r="Q60" i="2"/>
  <c r="P60" i="2"/>
  <c r="O60" i="2"/>
  <c r="N60" i="2"/>
  <c r="M60" i="2"/>
  <c r="L60" i="2"/>
  <c r="R59" i="2"/>
  <c r="Q59" i="2"/>
  <c r="P59" i="2"/>
  <c r="O59" i="2"/>
  <c r="N59" i="2"/>
  <c r="M59" i="2"/>
  <c r="L59" i="2"/>
  <c r="R58" i="2"/>
  <c r="Q58" i="2"/>
  <c r="P58" i="2"/>
  <c r="O58" i="2"/>
  <c r="N58" i="2"/>
  <c r="M58" i="2"/>
  <c r="L58" i="2"/>
  <c r="R57" i="2"/>
  <c r="Q57" i="2"/>
  <c r="P57" i="2"/>
  <c r="O57" i="2"/>
  <c r="N57" i="2"/>
  <c r="M57" i="2"/>
  <c r="L57" i="2"/>
  <c r="R56" i="2"/>
  <c r="Q56" i="2"/>
  <c r="P56" i="2"/>
  <c r="O56" i="2"/>
  <c r="N56" i="2"/>
  <c r="M56" i="2"/>
  <c r="L56" i="2"/>
  <c r="R55" i="2"/>
  <c r="Q55" i="2"/>
  <c r="P55" i="2"/>
  <c r="O55" i="2"/>
  <c r="N55" i="2"/>
  <c r="M55" i="2"/>
  <c r="L55" i="2"/>
  <c r="R54" i="2"/>
  <c r="Q54" i="2"/>
  <c r="P54" i="2"/>
  <c r="O54" i="2"/>
  <c r="N54" i="2"/>
  <c r="M54" i="2"/>
  <c r="L54" i="2"/>
  <c r="R53" i="2"/>
  <c r="Q53" i="2"/>
  <c r="P53" i="2"/>
  <c r="O53" i="2"/>
  <c r="N53" i="2"/>
  <c r="M53" i="2"/>
  <c r="L53" i="2"/>
  <c r="R52" i="2"/>
  <c r="Q52" i="2"/>
  <c r="P52" i="2"/>
  <c r="O52" i="2"/>
  <c r="N52" i="2"/>
  <c r="M52" i="2"/>
  <c r="L52" i="2"/>
  <c r="R51" i="2"/>
  <c r="Q51" i="2"/>
  <c r="P51" i="2"/>
  <c r="O51" i="2"/>
  <c r="N51" i="2"/>
  <c r="M51" i="2"/>
  <c r="L51" i="2"/>
  <c r="R50" i="2"/>
  <c r="Q50" i="2"/>
  <c r="P50" i="2"/>
  <c r="O50" i="2"/>
  <c r="N50" i="2"/>
  <c r="M50" i="2"/>
  <c r="L50" i="2"/>
  <c r="R49" i="2"/>
  <c r="Q49" i="2"/>
  <c r="P49" i="2"/>
  <c r="O49" i="2"/>
  <c r="N49" i="2"/>
  <c r="M49" i="2"/>
  <c r="L49" i="2"/>
  <c r="R48" i="2"/>
  <c r="Q48" i="2"/>
  <c r="P48" i="2"/>
  <c r="O48" i="2"/>
  <c r="N48" i="2"/>
  <c r="M48" i="2"/>
  <c r="L48" i="2"/>
  <c r="R47" i="2"/>
  <c r="Q47" i="2"/>
  <c r="P47" i="2"/>
  <c r="O47" i="2"/>
  <c r="N47" i="2"/>
  <c r="M47" i="2"/>
  <c r="L47" i="2"/>
  <c r="R46" i="2"/>
  <c r="Q46" i="2"/>
  <c r="P46" i="2"/>
  <c r="O46" i="2"/>
  <c r="N46" i="2"/>
  <c r="M46" i="2"/>
  <c r="L46" i="2"/>
  <c r="R45" i="2"/>
  <c r="Q45" i="2"/>
  <c r="P45" i="2"/>
  <c r="O45" i="2"/>
  <c r="N45" i="2"/>
  <c r="M45" i="2"/>
  <c r="L45" i="2"/>
  <c r="R44" i="2"/>
  <c r="Q44" i="2"/>
  <c r="P44" i="2"/>
  <c r="O44" i="2"/>
  <c r="N44" i="2"/>
  <c r="M44" i="2"/>
  <c r="L44" i="2"/>
  <c r="R43" i="2"/>
  <c r="Q43" i="2"/>
  <c r="P43" i="2"/>
  <c r="O43" i="2"/>
  <c r="N43" i="2"/>
  <c r="M43" i="2"/>
  <c r="L43" i="2"/>
  <c r="R42" i="2"/>
  <c r="Q42" i="2"/>
  <c r="P42" i="2"/>
  <c r="O42" i="2"/>
  <c r="N42" i="2"/>
  <c r="M42" i="2"/>
  <c r="L42" i="2"/>
  <c r="R41" i="2"/>
  <c r="Q41" i="2"/>
  <c r="P41" i="2"/>
  <c r="O41" i="2"/>
  <c r="N41" i="2"/>
  <c r="M41" i="2"/>
  <c r="L41" i="2"/>
  <c r="R40" i="2"/>
  <c r="Q40" i="2"/>
  <c r="P40" i="2"/>
  <c r="O40" i="2"/>
  <c r="N40" i="2"/>
  <c r="M40" i="2"/>
  <c r="L40" i="2"/>
  <c r="R39" i="2"/>
  <c r="Q39" i="2"/>
  <c r="P39" i="2"/>
  <c r="O39" i="2"/>
  <c r="N39" i="2"/>
  <c r="M39" i="2"/>
  <c r="L39" i="2"/>
  <c r="R38" i="2"/>
  <c r="Q38" i="2"/>
  <c r="P38" i="2"/>
  <c r="O38" i="2"/>
  <c r="N38" i="2"/>
  <c r="M38" i="2"/>
  <c r="L38" i="2"/>
  <c r="R37" i="2"/>
  <c r="Q37" i="2"/>
  <c r="P37" i="2"/>
  <c r="O37" i="2"/>
  <c r="N37" i="2"/>
  <c r="M37" i="2"/>
  <c r="L37" i="2"/>
  <c r="R36" i="2"/>
  <c r="Q36" i="2"/>
  <c r="P36" i="2"/>
  <c r="O36" i="2"/>
  <c r="N36" i="2"/>
  <c r="M36" i="2"/>
  <c r="L36" i="2"/>
  <c r="R35" i="2"/>
  <c r="Q35" i="2"/>
  <c r="P35" i="2"/>
  <c r="O35" i="2"/>
  <c r="N35" i="2"/>
  <c r="M35" i="2"/>
  <c r="L35" i="2"/>
  <c r="R34" i="2"/>
  <c r="Q34" i="2"/>
  <c r="P34" i="2"/>
  <c r="O34" i="2"/>
  <c r="N34" i="2"/>
  <c r="M34" i="2"/>
  <c r="L34" i="2"/>
  <c r="R33" i="2"/>
  <c r="Q33" i="2"/>
  <c r="P33" i="2"/>
  <c r="O33" i="2"/>
  <c r="N33" i="2"/>
  <c r="M33" i="2"/>
  <c r="L33" i="2"/>
  <c r="R32" i="2"/>
  <c r="Q32" i="2"/>
  <c r="P32" i="2"/>
  <c r="O32" i="2"/>
  <c r="N32" i="2"/>
  <c r="M32" i="2"/>
  <c r="L32" i="2"/>
  <c r="R31" i="2"/>
  <c r="R30" i="2"/>
  <c r="R29" i="2"/>
  <c r="R28" i="2"/>
  <c r="R27" i="2"/>
  <c r="R26" i="2"/>
  <c r="R25" i="2"/>
  <c r="N24" i="2"/>
  <c r="O24" i="2" s="1"/>
  <c r="M24" i="2"/>
  <c r="R24" i="2" s="1"/>
  <c r="L24" i="2"/>
  <c r="N23" i="2"/>
  <c r="O23" i="2" s="1"/>
  <c r="M23" i="2"/>
  <c r="R23" i="2" s="1"/>
  <c r="L23" i="2"/>
  <c r="N22" i="2"/>
  <c r="O22" i="2" s="1"/>
  <c r="M22" i="2"/>
  <c r="R22" i="2" s="1"/>
  <c r="L22" i="2"/>
  <c r="N21" i="2"/>
  <c r="O21" i="2" s="1"/>
  <c r="M21" i="2"/>
  <c r="R21" i="2" s="1"/>
  <c r="L21" i="2"/>
  <c r="N20" i="2"/>
  <c r="O20" i="2" s="1"/>
  <c r="M20" i="2"/>
  <c r="R20" i="2" s="1"/>
  <c r="L20" i="2"/>
  <c r="N19" i="2"/>
  <c r="O19" i="2" s="1"/>
  <c r="M19" i="2"/>
  <c r="R19" i="2" s="1"/>
  <c r="L19" i="2"/>
  <c r="N18" i="2"/>
  <c r="O18" i="2" s="1"/>
  <c r="M18" i="2"/>
  <c r="R18" i="2" s="1"/>
  <c r="L18" i="2"/>
  <c r="N17" i="2"/>
  <c r="O17" i="2" s="1"/>
  <c r="M17" i="2"/>
  <c r="R17" i="2" s="1"/>
  <c r="L17" i="2"/>
  <c r="N16" i="2"/>
  <c r="O16" i="2" s="1"/>
  <c r="M16" i="2"/>
  <c r="R16" i="2" s="1"/>
  <c r="L16" i="2"/>
  <c r="N15" i="2"/>
  <c r="O15" i="2" s="1"/>
  <c r="M15" i="2"/>
  <c r="R15" i="2" s="1"/>
  <c r="L15" i="2"/>
  <c r="N14" i="2"/>
  <c r="O14" i="2" s="1"/>
  <c r="M14" i="2"/>
  <c r="R14" i="2" s="1"/>
  <c r="L14" i="2"/>
  <c r="Q113" i="1"/>
  <c r="P113" i="1"/>
  <c r="O113" i="1"/>
  <c r="N113" i="1"/>
  <c r="M113" i="1"/>
  <c r="L113" i="1"/>
  <c r="K113" i="1"/>
  <c r="Q112" i="1"/>
  <c r="P112" i="1"/>
  <c r="O112" i="1"/>
  <c r="N112" i="1"/>
  <c r="M112" i="1"/>
  <c r="L112" i="1"/>
  <c r="K112" i="1"/>
  <c r="Q111" i="1"/>
  <c r="P111" i="1"/>
  <c r="O111" i="1"/>
  <c r="N111" i="1"/>
  <c r="M111" i="1"/>
  <c r="L111" i="1"/>
  <c r="K111" i="1"/>
  <c r="Q110" i="1"/>
  <c r="P110" i="1"/>
  <c r="O110" i="1"/>
  <c r="N110" i="1"/>
  <c r="M110" i="1"/>
  <c r="L110" i="1"/>
  <c r="K110" i="1"/>
  <c r="Q109" i="1"/>
  <c r="P109" i="1"/>
  <c r="O109" i="1"/>
  <c r="N109" i="1"/>
  <c r="M109" i="1"/>
  <c r="L109" i="1"/>
  <c r="K109" i="1"/>
  <c r="Q108" i="1"/>
  <c r="P108" i="1"/>
  <c r="O108" i="1"/>
  <c r="N108" i="1"/>
  <c r="M108" i="1"/>
  <c r="L108" i="1"/>
  <c r="K108" i="1"/>
  <c r="Q107" i="1"/>
  <c r="P107" i="1"/>
  <c r="O107" i="1"/>
  <c r="N107" i="1"/>
  <c r="M107" i="1"/>
  <c r="L107" i="1"/>
  <c r="K107" i="1"/>
  <c r="Q106" i="1"/>
  <c r="P106" i="1"/>
  <c r="O106" i="1"/>
  <c r="N106" i="1"/>
  <c r="M106" i="1"/>
  <c r="L106" i="1"/>
  <c r="K106" i="1"/>
  <c r="Q105" i="1"/>
  <c r="P105" i="1"/>
  <c r="O105" i="1"/>
  <c r="N105" i="1"/>
  <c r="M105" i="1"/>
  <c r="L105" i="1"/>
  <c r="K105" i="1"/>
  <c r="Q104" i="1"/>
  <c r="P104" i="1"/>
  <c r="O104" i="1"/>
  <c r="N104" i="1"/>
  <c r="M104" i="1"/>
  <c r="L104" i="1"/>
  <c r="K104" i="1"/>
  <c r="Q103" i="1"/>
  <c r="P103" i="1"/>
  <c r="O103" i="1"/>
  <c r="N103" i="1"/>
  <c r="M103" i="1"/>
  <c r="L103" i="1"/>
  <c r="K103" i="1"/>
  <c r="Q102" i="1"/>
  <c r="P102" i="1"/>
  <c r="O102" i="1"/>
  <c r="N102" i="1"/>
  <c r="M102" i="1"/>
  <c r="L102" i="1"/>
  <c r="K102" i="1"/>
  <c r="Q101" i="1"/>
  <c r="P101" i="1"/>
  <c r="O101" i="1"/>
  <c r="N101" i="1"/>
  <c r="M101" i="1"/>
  <c r="L101" i="1"/>
  <c r="K101" i="1"/>
  <c r="Q100" i="1"/>
  <c r="P100" i="1"/>
  <c r="O100" i="1"/>
  <c r="N100" i="1"/>
  <c r="M100" i="1"/>
  <c r="L100" i="1"/>
  <c r="K100" i="1"/>
  <c r="Q99" i="1"/>
  <c r="P99" i="1"/>
  <c r="O99" i="1"/>
  <c r="N99" i="1"/>
  <c r="M99" i="1"/>
  <c r="L99" i="1"/>
  <c r="K99" i="1"/>
  <c r="Q98" i="1"/>
  <c r="P98" i="1"/>
  <c r="O98" i="1"/>
  <c r="N98" i="1"/>
  <c r="M98" i="1"/>
  <c r="L98" i="1"/>
  <c r="K98" i="1"/>
  <c r="Q97" i="1"/>
  <c r="P97" i="1"/>
  <c r="O97" i="1"/>
  <c r="N97" i="1"/>
  <c r="M97" i="1"/>
  <c r="L97" i="1"/>
  <c r="K97" i="1"/>
  <c r="Q96" i="1"/>
  <c r="P96" i="1"/>
  <c r="O96" i="1"/>
  <c r="N96" i="1"/>
  <c r="M96" i="1"/>
  <c r="L96" i="1"/>
  <c r="K96" i="1"/>
  <c r="Q95" i="1"/>
  <c r="P95" i="1"/>
  <c r="O95" i="1"/>
  <c r="N95" i="1"/>
  <c r="M95" i="1"/>
  <c r="L95" i="1"/>
  <c r="K95" i="1"/>
  <c r="Q94" i="1"/>
  <c r="P94" i="1"/>
  <c r="O94" i="1"/>
  <c r="N94" i="1"/>
  <c r="M94" i="1"/>
  <c r="L94" i="1"/>
  <c r="K94" i="1"/>
  <c r="Q93" i="1"/>
  <c r="P93" i="1"/>
  <c r="O93" i="1"/>
  <c r="N93" i="1"/>
  <c r="M93" i="1"/>
  <c r="L93" i="1"/>
  <c r="K93" i="1"/>
  <c r="Q92" i="1"/>
  <c r="P92" i="1"/>
  <c r="O92" i="1"/>
  <c r="N92" i="1"/>
  <c r="M92" i="1"/>
  <c r="L92" i="1"/>
  <c r="K92" i="1"/>
  <c r="Q91" i="1"/>
  <c r="P91" i="1"/>
  <c r="O91" i="1"/>
  <c r="N91" i="1"/>
  <c r="M91" i="1"/>
  <c r="L91" i="1"/>
  <c r="K91" i="1"/>
  <c r="Q90" i="1"/>
  <c r="P90" i="1"/>
  <c r="O90" i="1"/>
  <c r="N90" i="1"/>
  <c r="M90" i="1"/>
  <c r="L90" i="1"/>
  <c r="K90" i="1"/>
  <c r="Q89" i="1"/>
  <c r="P89" i="1"/>
  <c r="O89" i="1"/>
  <c r="N89" i="1"/>
  <c r="M89" i="1"/>
  <c r="L89" i="1"/>
  <c r="K89" i="1"/>
  <c r="Q88" i="1"/>
  <c r="P88" i="1"/>
  <c r="O88" i="1"/>
  <c r="N88" i="1"/>
  <c r="M88" i="1"/>
  <c r="L88" i="1"/>
  <c r="K88" i="1"/>
  <c r="Q87" i="1"/>
  <c r="P87" i="1"/>
  <c r="O87" i="1"/>
  <c r="N87" i="1"/>
  <c r="M87" i="1"/>
  <c r="L87" i="1"/>
  <c r="K87" i="1"/>
  <c r="Q86" i="1"/>
  <c r="P86" i="1"/>
  <c r="O86" i="1"/>
  <c r="N86" i="1"/>
  <c r="M86" i="1"/>
  <c r="L86" i="1"/>
  <c r="K86" i="1"/>
  <c r="Q85" i="1"/>
  <c r="P85" i="1"/>
  <c r="O85" i="1"/>
  <c r="N85" i="1"/>
  <c r="M85" i="1"/>
  <c r="L85" i="1"/>
  <c r="K85" i="1"/>
  <c r="Q84" i="1"/>
  <c r="P84" i="1"/>
  <c r="O84" i="1"/>
  <c r="N84" i="1"/>
  <c r="M84" i="1"/>
  <c r="L84" i="1"/>
  <c r="K84" i="1"/>
  <c r="Q83" i="1"/>
  <c r="P83" i="1"/>
  <c r="O83" i="1"/>
  <c r="N83" i="1"/>
  <c r="M83" i="1"/>
  <c r="L83" i="1"/>
  <c r="K83" i="1"/>
  <c r="Q82" i="1"/>
  <c r="P82" i="1"/>
  <c r="O82" i="1"/>
  <c r="N82" i="1"/>
  <c r="M82" i="1"/>
  <c r="L82" i="1"/>
  <c r="K82" i="1"/>
  <c r="Q81" i="1"/>
  <c r="P81" i="1"/>
  <c r="O81" i="1"/>
  <c r="N81" i="1"/>
  <c r="M81" i="1"/>
  <c r="L81" i="1"/>
  <c r="K81" i="1"/>
  <c r="Q80" i="1"/>
  <c r="P80" i="1"/>
  <c r="O80" i="1"/>
  <c r="N80" i="1"/>
  <c r="M80" i="1"/>
  <c r="L80" i="1"/>
  <c r="K80" i="1"/>
  <c r="Q79" i="1"/>
  <c r="P79" i="1"/>
  <c r="O79" i="1"/>
  <c r="N79" i="1"/>
  <c r="M79" i="1"/>
  <c r="L79" i="1"/>
  <c r="K79" i="1"/>
  <c r="Q78" i="1"/>
  <c r="P78" i="1"/>
  <c r="O78" i="1"/>
  <c r="N78" i="1"/>
  <c r="M78" i="1"/>
  <c r="L78" i="1"/>
  <c r="K78" i="1"/>
  <c r="O77" i="1"/>
  <c r="N77" i="1"/>
  <c r="M77" i="1"/>
  <c r="L77" i="1"/>
  <c r="K77" i="1"/>
  <c r="O76" i="1"/>
  <c r="N76" i="1"/>
  <c r="M76" i="1"/>
  <c r="L76" i="1"/>
  <c r="K76" i="1"/>
  <c r="O75" i="1"/>
  <c r="N75" i="1"/>
  <c r="M75" i="1"/>
  <c r="L75" i="1"/>
  <c r="K75" i="1"/>
  <c r="O74" i="1"/>
  <c r="N74" i="1"/>
  <c r="M74" i="1"/>
  <c r="L74" i="1"/>
  <c r="K74" i="1"/>
  <c r="O73" i="1"/>
  <c r="N73" i="1"/>
  <c r="M73" i="1"/>
  <c r="L73" i="1"/>
  <c r="K73" i="1"/>
  <c r="O72" i="1"/>
  <c r="N72" i="1"/>
  <c r="M72" i="1"/>
  <c r="L72" i="1"/>
  <c r="K72" i="1"/>
  <c r="O71" i="1"/>
  <c r="N71" i="1"/>
  <c r="M71" i="1"/>
  <c r="L71" i="1"/>
  <c r="K71" i="1"/>
  <c r="O70" i="1"/>
  <c r="N70" i="1"/>
  <c r="M70" i="1"/>
  <c r="L70" i="1"/>
  <c r="K70" i="1"/>
  <c r="Q63" i="1"/>
  <c r="P63" i="1"/>
  <c r="O63" i="1"/>
  <c r="N63" i="1"/>
  <c r="M63" i="1"/>
  <c r="L63" i="1"/>
  <c r="K63" i="1"/>
  <c r="Q62" i="1"/>
  <c r="P62" i="1"/>
  <c r="O62" i="1"/>
  <c r="N62" i="1"/>
  <c r="M62" i="1"/>
  <c r="L62" i="1"/>
  <c r="K62" i="1"/>
  <c r="Q61" i="1"/>
  <c r="P61" i="1"/>
  <c r="O61" i="1"/>
  <c r="N61" i="1"/>
  <c r="M61" i="1"/>
  <c r="L61" i="1"/>
  <c r="K61" i="1"/>
  <c r="Q60" i="1"/>
  <c r="P60" i="1"/>
  <c r="O60" i="1"/>
  <c r="N60" i="1"/>
  <c r="M60" i="1"/>
  <c r="L60" i="1"/>
  <c r="K60" i="1"/>
  <c r="Q59" i="1"/>
  <c r="P59" i="1"/>
  <c r="O59" i="1"/>
  <c r="N59" i="1"/>
  <c r="M59" i="1"/>
  <c r="L59" i="1"/>
  <c r="K59" i="1"/>
  <c r="Q58" i="1"/>
  <c r="P58" i="1"/>
  <c r="O58" i="1"/>
  <c r="N58" i="1"/>
  <c r="M58" i="1"/>
  <c r="L58" i="1"/>
  <c r="K58" i="1"/>
  <c r="Q57" i="1"/>
  <c r="P57" i="1"/>
  <c r="O57" i="1"/>
  <c r="N57" i="1"/>
  <c r="M57" i="1"/>
  <c r="L57" i="1"/>
  <c r="K57" i="1"/>
  <c r="Q56" i="1"/>
  <c r="P56" i="1"/>
  <c r="O56" i="1"/>
  <c r="N56" i="1"/>
  <c r="M56" i="1"/>
  <c r="L56" i="1"/>
  <c r="K56" i="1"/>
  <c r="Q55" i="1"/>
  <c r="P55" i="1"/>
  <c r="O55" i="1"/>
  <c r="N55" i="1"/>
  <c r="M55" i="1"/>
  <c r="L55" i="1"/>
  <c r="K55" i="1"/>
  <c r="Q54" i="1"/>
  <c r="P54" i="1"/>
  <c r="O54" i="1"/>
  <c r="N54" i="1"/>
  <c r="M54" i="1"/>
  <c r="L54" i="1"/>
  <c r="K54" i="1"/>
  <c r="Q53" i="1"/>
  <c r="P53" i="1"/>
  <c r="O53" i="1"/>
  <c r="N53" i="1"/>
  <c r="M53" i="1"/>
  <c r="L53" i="1"/>
  <c r="K53" i="1"/>
  <c r="Q52" i="1"/>
  <c r="P52" i="1"/>
  <c r="O52" i="1"/>
  <c r="N52" i="1"/>
  <c r="M52" i="1"/>
  <c r="L52" i="1"/>
  <c r="K52" i="1"/>
  <c r="Q51" i="1"/>
  <c r="P51" i="1"/>
  <c r="O51" i="1"/>
  <c r="N51" i="1"/>
  <c r="M51" i="1"/>
  <c r="L51" i="1"/>
  <c r="K51" i="1"/>
  <c r="Q50" i="1"/>
  <c r="P50" i="1"/>
  <c r="O50" i="1"/>
  <c r="N50" i="1"/>
  <c r="M50" i="1"/>
  <c r="L50" i="1"/>
  <c r="K50" i="1"/>
  <c r="Q49" i="1"/>
  <c r="P49" i="1"/>
  <c r="O49" i="1"/>
  <c r="N49" i="1"/>
  <c r="M49" i="1"/>
  <c r="L49" i="1"/>
  <c r="K49" i="1"/>
  <c r="Q48" i="1"/>
  <c r="P48" i="1"/>
  <c r="O48" i="1"/>
  <c r="N48" i="1"/>
  <c r="M48" i="1"/>
  <c r="L48" i="1"/>
  <c r="K48" i="1"/>
  <c r="Q47" i="1"/>
  <c r="P47" i="1"/>
  <c r="O47" i="1"/>
  <c r="N47" i="1"/>
  <c r="M47" i="1"/>
  <c r="L47" i="1"/>
  <c r="K47" i="1"/>
  <c r="Q46" i="1"/>
  <c r="P46" i="1"/>
  <c r="O46" i="1"/>
  <c r="N46" i="1"/>
  <c r="M46" i="1"/>
  <c r="L46" i="1"/>
  <c r="K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/>
  <c r="Q42" i="1"/>
  <c r="P42" i="1"/>
  <c r="O42" i="1"/>
  <c r="N42" i="1"/>
  <c r="M42" i="1"/>
  <c r="L42" i="1"/>
  <c r="K42" i="1"/>
  <c r="Q41" i="1"/>
  <c r="P41" i="1"/>
  <c r="O41" i="1"/>
  <c r="N41" i="1"/>
  <c r="M41" i="1"/>
  <c r="L41" i="1"/>
  <c r="K41" i="1"/>
  <c r="Q40" i="1"/>
  <c r="P40" i="1"/>
  <c r="O40" i="1"/>
  <c r="N40" i="1"/>
  <c r="M40" i="1"/>
  <c r="L40" i="1"/>
  <c r="K40" i="1"/>
  <c r="Q39" i="1"/>
  <c r="P39" i="1"/>
  <c r="O39" i="1"/>
  <c r="N39" i="1"/>
  <c r="M39" i="1"/>
  <c r="L39" i="1"/>
  <c r="K39" i="1"/>
  <c r="Q38" i="1"/>
  <c r="P38" i="1"/>
  <c r="O38" i="1"/>
  <c r="N38" i="1"/>
  <c r="M38" i="1"/>
  <c r="L38" i="1"/>
  <c r="K38" i="1"/>
  <c r="M37" i="1"/>
  <c r="N37" i="1" s="1"/>
  <c r="L37" i="1"/>
  <c r="Q37" i="1" s="1"/>
  <c r="K37" i="1"/>
  <c r="M36" i="1"/>
  <c r="N36" i="1" s="1"/>
  <c r="L36" i="1"/>
  <c r="Q36" i="1" s="1"/>
  <c r="K36" i="1"/>
  <c r="M35" i="1"/>
  <c r="N35" i="1" s="1"/>
  <c r="L35" i="1"/>
  <c r="Q35" i="1" s="1"/>
  <c r="K35" i="1"/>
  <c r="M34" i="1"/>
  <c r="N34" i="1" s="1"/>
  <c r="L34" i="1"/>
  <c r="Q34" i="1" s="1"/>
  <c r="K34" i="1"/>
  <c r="M33" i="1"/>
  <c r="N33" i="1" s="1"/>
  <c r="L33" i="1"/>
  <c r="Q33" i="1" s="1"/>
  <c r="K33" i="1"/>
  <c r="M32" i="1"/>
  <c r="N32" i="1" s="1"/>
  <c r="L32" i="1"/>
  <c r="Q32" i="1" s="1"/>
  <c r="K32" i="1"/>
  <c r="M31" i="1"/>
  <c r="N31" i="1" s="1"/>
  <c r="L31" i="1"/>
  <c r="Q31" i="1" s="1"/>
  <c r="K31" i="1"/>
  <c r="M30" i="1"/>
  <c r="N30" i="1" s="1"/>
  <c r="L30" i="1"/>
  <c r="Q30" i="1" s="1"/>
  <c r="K30" i="1"/>
  <c r="M29" i="1"/>
  <c r="N29" i="1" s="1"/>
  <c r="L29" i="1"/>
  <c r="Q29" i="1" s="1"/>
  <c r="K29" i="1"/>
  <c r="M28" i="1"/>
  <c r="N28" i="1" s="1"/>
  <c r="L28" i="1"/>
  <c r="Q28" i="1" s="1"/>
  <c r="K28" i="1"/>
  <c r="M27" i="1"/>
  <c r="N27" i="1" s="1"/>
  <c r="L27" i="1"/>
  <c r="Q27" i="1" s="1"/>
  <c r="K27" i="1"/>
  <c r="M26" i="1"/>
  <c r="N26" i="1" s="1"/>
  <c r="L26" i="1"/>
  <c r="Q26" i="1" s="1"/>
  <c r="K26" i="1"/>
  <c r="M25" i="1"/>
  <c r="N25" i="1" s="1"/>
  <c r="L25" i="1"/>
  <c r="Q25" i="1" s="1"/>
  <c r="K25" i="1"/>
  <c r="M24" i="1"/>
  <c r="N24" i="1" s="1"/>
  <c r="L24" i="1"/>
  <c r="Q24" i="1" s="1"/>
  <c r="K24" i="1"/>
  <c r="N23" i="1"/>
  <c r="M23" i="1"/>
  <c r="L23" i="1"/>
  <c r="Q23" i="1" s="1"/>
  <c r="K23" i="1"/>
  <c r="M22" i="1"/>
  <c r="N22" i="1" s="1"/>
  <c r="L22" i="1"/>
  <c r="Q22" i="1" s="1"/>
  <c r="K22" i="1"/>
  <c r="N21" i="1"/>
  <c r="M21" i="1"/>
  <c r="L21" i="1"/>
  <c r="Q21" i="1" s="1"/>
  <c r="K21" i="1"/>
  <c r="M20" i="1"/>
  <c r="N20" i="1" s="1"/>
  <c r="L20" i="1"/>
  <c r="Q20" i="1" s="1"/>
  <c r="K20" i="1"/>
  <c r="N19" i="1"/>
  <c r="M19" i="1"/>
  <c r="L19" i="1"/>
  <c r="Q19" i="1" s="1"/>
  <c r="K19" i="1"/>
  <c r="M18" i="1"/>
  <c r="N18" i="1" s="1"/>
  <c r="L18" i="1"/>
  <c r="Q18" i="1" s="1"/>
  <c r="K18" i="1"/>
  <c r="N17" i="1"/>
  <c r="M17" i="1"/>
  <c r="L17" i="1"/>
  <c r="Q17" i="1" s="1"/>
  <c r="K17" i="1"/>
  <c r="M16" i="1"/>
  <c r="N16" i="1" s="1"/>
  <c r="L16" i="1"/>
  <c r="Q16" i="1" s="1"/>
  <c r="K16" i="1"/>
  <c r="M15" i="1"/>
  <c r="N15" i="1" s="1"/>
  <c r="L15" i="1"/>
  <c r="Q15" i="1" s="1"/>
  <c r="K15" i="1"/>
  <c r="M14" i="1"/>
  <c r="N14" i="1" s="1"/>
  <c r="L14" i="1"/>
  <c r="Q14" i="1" s="1"/>
  <c r="K14" i="1"/>
  <c r="L15" i="8" l="1"/>
  <c r="K15" i="8" s="1"/>
  <c r="L17" i="8"/>
  <c r="K17" i="8" s="1"/>
  <c r="L14" i="8"/>
  <c r="K14" i="8" s="1"/>
  <c r="L19" i="8"/>
  <c r="K19" i="8" s="1"/>
  <c r="L21" i="8"/>
  <c r="K21" i="8" s="1"/>
  <c r="L23" i="8"/>
  <c r="K23" i="8" s="1"/>
  <c r="L25" i="8"/>
  <c r="K25" i="8" s="1"/>
  <c r="L27" i="8"/>
  <c r="K27" i="8" s="1"/>
  <c r="L29" i="8"/>
  <c r="K29" i="8" s="1"/>
  <c r="L31" i="8"/>
  <c r="K31" i="8" s="1"/>
  <c r="L33" i="8"/>
  <c r="K33" i="8" s="1"/>
  <c r="L35" i="8"/>
  <c r="K35" i="8" s="1"/>
  <c r="L37" i="8"/>
  <c r="K37" i="8" s="1"/>
  <c r="L39" i="8"/>
  <c r="K39" i="8" s="1"/>
  <c r="L41" i="8"/>
  <c r="K41" i="8" s="1"/>
  <c r="M14" i="7"/>
  <c r="M27" i="7"/>
  <c r="O15" i="5"/>
  <c r="N15" i="5" s="1"/>
  <c r="O17" i="5"/>
  <c r="N17" i="5" s="1"/>
  <c r="Q15" i="3"/>
  <c r="P15" i="3" s="1"/>
  <c r="Q17" i="3"/>
  <c r="P17" i="3" s="1"/>
  <c r="Q19" i="3"/>
  <c r="P19" i="3" s="1"/>
  <c r="Q15" i="2"/>
  <c r="P15" i="2" s="1"/>
  <c r="Q19" i="2"/>
  <c r="P19" i="2" s="1"/>
  <c r="Q23" i="2"/>
  <c r="P23" i="2" s="1"/>
  <c r="Q17" i="2"/>
  <c r="P17" i="2" s="1"/>
  <c r="Q21" i="2"/>
  <c r="P21" i="2" s="1"/>
  <c r="Q25" i="2"/>
  <c r="P25" i="2" s="1"/>
  <c r="Q27" i="2"/>
  <c r="P27" i="2" s="1"/>
  <c r="Q29" i="2"/>
  <c r="P29" i="2" s="1"/>
  <c r="Q31" i="2"/>
  <c r="P31" i="2" s="1"/>
  <c r="P14" i="1"/>
  <c r="O14" i="1" s="1"/>
  <c r="P16" i="1"/>
  <c r="O16" i="1" s="1"/>
  <c r="P18" i="1"/>
  <c r="O18" i="1" s="1"/>
  <c r="P20" i="1"/>
  <c r="O20" i="1" s="1"/>
  <c r="P22" i="1"/>
  <c r="O22" i="1" s="1"/>
  <c r="P15" i="1"/>
  <c r="O15" i="1" s="1"/>
  <c r="P17" i="1"/>
  <c r="O17" i="1" s="1"/>
  <c r="P19" i="1"/>
  <c r="O19" i="1" s="1"/>
  <c r="P21" i="1"/>
  <c r="O21" i="1" s="1"/>
  <c r="P23" i="1"/>
  <c r="O23" i="1" s="1"/>
  <c r="P25" i="1"/>
  <c r="O25" i="1" s="1"/>
  <c r="P29" i="1"/>
  <c r="O29" i="1" s="1"/>
  <c r="P33" i="1"/>
  <c r="O33" i="1" s="1"/>
  <c r="O18" i="4"/>
  <c r="N18" i="4" s="1"/>
  <c r="O20" i="4"/>
  <c r="N20" i="4" s="1"/>
  <c r="Q16" i="6"/>
  <c r="P16" i="6" s="1"/>
  <c r="Q18" i="6"/>
  <c r="P18" i="6" s="1"/>
  <c r="Q24" i="6"/>
  <c r="P24" i="6" s="1"/>
  <c r="Q26" i="6"/>
  <c r="P26" i="6" s="1"/>
  <c r="P26" i="1"/>
  <c r="O26" i="1" s="1"/>
  <c r="P28" i="1"/>
  <c r="O28" i="1" s="1"/>
  <c r="P30" i="1"/>
  <c r="O30" i="1" s="1"/>
  <c r="P32" i="1"/>
  <c r="O32" i="1" s="1"/>
  <c r="P34" i="1"/>
  <c r="O34" i="1" s="1"/>
  <c r="P36" i="1"/>
  <c r="O36" i="1" s="1"/>
  <c r="Q14" i="2"/>
  <c r="P14" i="2" s="1"/>
  <c r="Q16" i="2"/>
  <c r="P16" i="2" s="1"/>
  <c r="Q18" i="2"/>
  <c r="P18" i="2" s="1"/>
  <c r="Q20" i="2"/>
  <c r="P20" i="2" s="1"/>
  <c r="Q22" i="2"/>
  <c r="P22" i="2" s="1"/>
  <c r="Q24" i="2"/>
  <c r="P24" i="2" s="1"/>
  <c r="Q26" i="2"/>
  <c r="P26" i="2" s="1"/>
  <c r="Q28" i="2"/>
  <c r="P28" i="2" s="1"/>
  <c r="Q30" i="2"/>
  <c r="P30" i="2" s="1"/>
  <c r="Q14" i="3"/>
  <c r="P14" i="3" s="1"/>
  <c r="Q16" i="3"/>
  <c r="P16" i="3" s="1"/>
  <c r="Q18" i="3"/>
  <c r="P18" i="3" s="1"/>
  <c r="Q20" i="3"/>
  <c r="P20" i="3" s="1"/>
  <c r="O15" i="4"/>
  <c r="N15" i="4" s="1"/>
  <c r="O17" i="4"/>
  <c r="N17" i="4" s="1"/>
  <c r="O19" i="4"/>
  <c r="N19" i="4" s="1"/>
  <c r="O21" i="4"/>
  <c r="N21" i="4" s="1"/>
  <c r="O23" i="4"/>
  <c r="N23" i="4" s="1"/>
  <c r="O14" i="5"/>
  <c r="N14" i="5" s="1"/>
  <c r="O16" i="5"/>
  <c r="N16" i="5" s="1"/>
  <c r="O18" i="5"/>
  <c r="N18" i="5" s="1"/>
  <c r="Q15" i="6"/>
  <c r="P15" i="6" s="1"/>
  <c r="Q17" i="6"/>
  <c r="P17" i="6" s="1"/>
  <c r="Q19" i="6"/>
  <c r="P19" i="6" s="1"/>
  <c r="Q21" i="6"/>
  <c r="P21" i="6" s="1"/>
  <c r="Q23" i="6"/>
  <c r="P23" i="6" s="1"/>
  <c r="Q25" i="6"/>
  <c r="P25" i="6" s="1"/>
  <c r="Q27" i="6"/>
  <c r="P27" i="6" s="1"/>
  <c r="Q29" i="6"/>
  <c r="P29" i="6" s="1"/>
  <c r="P24" i="1"/>
  <c r="O24" i="1" s="1"/>
  <c r="P27" i="1"/>
  <c r="O27" i="1" s="1"/>
  <c r="P31" i="1"/>
  <c r="O31" i="1" s="1"/>
  <c r="P35" i="1"/>
  <c r="O35" i="1" s="1"/>
  <c r="P37" i="1"/>
  <c r="O37" i="1" s="1"/>
  <c r="O14" i="4"/>
  <c r="N14" i="4" s="1"/>
  <c r="O16" i="4"/>
  <c r="N16" i="4" s="1"/>
  <c r="O22" i="4"/>
  <c r="N22" i="4" s="1"/>
  <c r="O24" i="4"/>
  <c r="N24" i="4" s="1"/>
  <c r="Q20" i="6"/>
  <c r="P20" i="6" s="1"/>
  <c r="Q22" i="6"/>
  <c r="P22" i="6" s="1"/>
  <c r="Q28" i="6"/>
  <c r="P28" i="6" s="1"/>
  <c r="M15" i="7"/>
  <c r="M16" i="7"/>
  <c r="M17" i="7"/>
  <c r="M18" i="7"/>
  <c r="M19" i="7"/>
  <c r="M20" i="7"/>
  <c r="M21" i="7"/>
  <c r="M22" i="7"/>
  <c r="M23" i="7"/>
  <c r="M24" i="7"/>
  <c r="L16" i="8"/>
  <c r="K16" i="8" s="1"/>
  <c r="L18" i="8"/>
  <c r="K18" i="8" s="1"/>
  <c r="L20" i="8"/>
  <c r="K20" i="8" s="1"/>
  <c r="L22" i="8"/>
  <c r="K22" i="8" s="1"/>
  <c r="L24" i="8"/>
  <c r="K24" i="8" s="1"/>
  <c r="L26" i="8"/>
  <c r="K26" i="8" s="1"/>
  <c r="L28" i="8"/>
  <c r="K28" i="8" s="1"/>
  <c r="L30" i="8"/>
  <c r="K30" i="8" s="1"/>
  <c r="L32" i="8"/>
  <c r="K32" i="8" s="1"/>
  <c r="L34" i="8"/>
  <c r="K34" i="8" s="1"/>
  <c r="L36" i="8"/>
  <c r="K36" i="8" s="1"/>
  <c r="L38" i="8"/>
  <c r="K38" i="8" s="1"/>
  <c r="L40" i="8"/>
  <c r="K40" i="8" s="1"/>
</calcChain>
</file>

<file path=xl/sharedStrings.xml><?xml version="1.0" encoding="utf-8"?>
<sst xmlns="http://schemas.openxmlformats.org/spreadsheetml/2006/main" count="569" uniqueCount="205">
  <si>
    <t xml:space="preserve">
</t>
  </si>
  <si>
    <t xml:space="preserve">
</t>
  </si>
  <si>
    <t>‡MÖW wbY©q</t>
  </si>
  <si>
    <t>80-100</t>
  </si>
  <si>
    <t>A+</t>
  </si>
  <si>
    <t xml:space="preserve">       </t>
  </si>
  <si>
    <t>70-79</t>
  </si>
  <si>
    <t>A</t>
  </si>
  <si>
    <t>60-69</t>
  </si>
  <si>
    <t>A-</t>
  </si>
  <si>
    <t>50-59</t>
  </si>
  <si>
    <t>B</t>
  </si>
  <si>
    <t>40-49</t>
  </si>
  <si>
    <t>C</t>
  </si>
  <si>
    <t>33-39</t>
  </si>
  <si>
    <t>D</t>
  </si>
  <si>
    <t>.</t>
  </si>
  <si>
    <t>0-32</t>
  </si>
  <si>
    <t>F</t>
  </si>
  <si>
    <t>µwgK bs</t>
  </si>
  <si>
    <t>cixÿv_©x‡`i bvg</t>
  </si>
  <si>
    <t>KziAvb gvRx` I ZvRex`</t>
  </si>
  <si>
    <t>Aviex wjLv</t>
  </si>
  <si>
    <t>evsjv</t>
  </si>
  <si>
    <t>Bs‡iRx</t>
  </si>
  <si>
    <t>MwYZ</t>
  </si>
  <si>
    <t>Kvwjgv, gvmv: I mvav: Ávb</t>
  </si>
  <si>
    <t>Av`: mvjvZ I Av`: gvmb~bvn</t>
  </si>
  <si>
    <t>nvw`m kixd</t>
  </si>
  <si>
    <t>me© †gvU
b¤^i</t>
  </si>
  <si>
    <t>Mo</t>
  </si>
  <si>
    <t>c‡q›U</t>
  </si>
  <si>
    <t>‡MÖW</t>
  </si>
  <si>
    <t>Ave¯’vb</t>
  </si>
  <si>
    <t>Avwe` †nvmvBb</t>
  </si>
  <si>
    <t>Avãyj †gv‡bg</t>
  </si>
  <si>
    <t>bvCgyj Bmjvg bvwej</t>
  </si>
  <si>
    <t>ZvIwmd ZvbwR`</t>
  </si>
  <si>
    <t>gyimvwjb Zv‡qd</t>
  </si>
  <si>
    <t>ivBqvb DwÏb</t>
  </si>
  <si>
    <t>Avãyjøvn Avj ZvnwRe</t>
  </si>
  <si>
    <t>wm`ivZzj gybZvnv</t>
  </si>
  <si>
    <t>Avwikv Bmjvg</t>
  </si>
  <si>
    <t>gviBqvg wejwKm</t>
  </si>
  <si>
    <t>Kvwigv Bqvmwgb</t>
  </si>
  <si>
    <t>Bmdvi †nv‡mb mvw`K</t>
  </si>
  <si>
    <t>Avw`e †nv‡mb</t>
  </si>
  <si>
    <t>Iwn`yj Bmjvg</t>
  </si>
  <si>
    <t>gygZvwnbv †gnRvweb</t>
  </si>
  <si>
    <t>gviæd †nv‡mb</t>
  </si>
  <si>
    <t>Avwiqvb wRnvb</t>
  </si>
  <si>
    <t>Avwiqvb Avn‡g`</t>
  </si>
  <si>
    <t>Avãyjøvn Avj gvwng</t>
  </si>
  <si>
    <t>Avãyyj Kv‡`i †Rvnvb</t>
  </si>
  <si>
    <t>†ZŠwn`yj Bmjvg</t>
  </si>
  <si>
    <t>†gvKviig †nv‡mb</t>
  </si>
  <si>
    <t>mvdixb Avn‡g`</t>
  </si>
  <si>
    <t>byiæj Bmjvg mv¾v`</t>
  </si>
  <si>
    <t>গ্রেড স্কেল</t>
  </si>
  <si>
    <t>60-79</t>
  </si>
  <si>
    <t>50-79</t>
  </si>
  <si>
    <t>40-79</t>
  </si>
  <si>
    <t>33-79</t>
  </si>
  <si>
    <r>
      <rPr>
        <i/>
        <sz val="10"/>
        <color rgb="FF666666"/>
        <rFont val="Noto Sans Bengali"/>
        <charset val="1"/>
      </rPr>
      <t xml:space="preserve">Overall Point </t>
    </r>
    <r>
      <rPr>
        <i/>
        <sz val="10"/>
        <color rgb="FF666666"/>
        <rFont val="Lohit Devanagari"/>
        <family val="2"/>
        <charset val="1"/>
      </rPr>
      <t xml:space="preserve">থেকে </t>
    </r>
    <r>
      <rPr>
        <i/>
        <sz val="10"/>
        <color rgb="FF666666"/>
        <rFont val="Noto Sans Bengali"/>
        <charset val="1"/>
      </rPr>
      <t>Grade: 5.00=A+, 4.00–&lt;5.00=A, 3.50–&lt;4.00=A-, 3.00–&lt;3.50=B, 2.00–&lt;3.00=C, 1.00–&lt;2.00=D, &lt;1.00=F.</t>
    </r>
  </si>
  <si>
    <t xml:space="preserve">
</t>
  </si>
  <si>
    <t>KziAvb I ZvRex`</t>
  </si>
  <si>
    <t>cwi: cwi: I mvav: Ávb</t>
  </si>
  <si>
    <t>Kvwjgv I gvmvBj</t>
  </si>
  <si>
    <t>nvw`m I Avm:ûmbv</t>
  </si>
  <si>
    <t>hyev‡qi Avng`</t>
  </si>
  <si>
    <t xml:space="preserve">nvmbv Zvev”Qzg  </t>
  </si>
  <si>
    <t xml:space="preserve">AvZwKqv dvBRvn  </t>
  </si>
  <si>
    <t xml:space="preserve">‡gvevwk^iv RvbœvZ  </t>
  </si>
  <si>
    <t xml:space="preserve">Avãyi ingvb  </t>
  </si>
  <si>
    <t xml:space="preserve">Avwiev myjZvbv  </t>
  </si>
  <si>
    <t xml:space="preserve">myivBqv RvbœvZ  </t>
  </si>
  <si>
    <t xml:space="preserve">RvbœvZzj Avjxqv  </t>
  </si>
  <si>
    <t xml:space="preserve">mvwgiæj Bmjvg </t>
  </si>
  <si>
    <t xml:space="preserve">dv‡ZgvZzj RvbœvZ  </t>
  </si>
  <si>
    <t xml:space="preserve">Avqgvb Rvwid  </t>
  </si>
  <si>
    <t xml:space="preserve">‡Rvev‡q` †nv: ZvwQe  </t>
  </si>
  <si>
    <t xml:space="preserve">wewe gwiqg  </t>
  </si>
  <si>
    <t>*</t>
  </si>
  <si>
    <t xml:space="preserve">Aveivi Avng`  </t>
  </si>
  <si>
    <t xml:space="preserve">mvdIqvb mvw``  </t>
  </si>
  <si>
    <t xml:space="preserve">Kwj Av³vi  </t>
  </si>
  <si>
    <t>bvwn` nvmvb</t>
  </si>
  <si>
    <t>mgvR, weÁvb I mvaviY Ávb</t>
  </si>
  <si>
    <t>Av`:mvjvZ I gvmbybvn</t>
  </si>
  <si>
    <t xml:space="preserve">gviBqvg myjZvb  </t>
  </si>
  <si>
    <t xml:space="preserve">bvwRdv †nvmvBb  </t>
  </si>
  <si>
    <t xml:space="preserve">‡ZŠwdKzj Bmjvg  </t>
  </si>
  <si>
    <t xml:space="preserve">gwbiæj Bmjvg  </t>
  </si>
  <si>
    <t xml:space="preserve">BmgvZ gvKQzivn  </t>
  </si>
  <si>
    <t>D‡¤§ nvdmv</t>
  </si>
  <si>
    <r>
      <rPr>
        <i/>
        <sz val="10"/>
        <color rgb="FF666666"/>
        <rFont val="Noto Sans Bengali"/>
        <charset val="1"/>
      </rPr>
      <t xml:space="preserve">Overall Point </t>
    </r>
    <r>
      <rPr>
        <i/>
        <sz val="10"/>
        <color rgb="FF666666"/>
        <rFont val="Lohit Devanagari"/>
        <family val="2"/>
      </rPr>
      <t xml:space="preserve">থেকে </t>
    </r>
    <r>
      <rPr>
        <i/>
        <sz val="10"/>
        <color rgb="FF666666"/>
        <rFont val="Noto Sans Bengali"/>
        <charset val="1"/>
      </rPr>
      <t>Grade: 5.00=A+, 4.00–&lt;5.00=A, 3.50–&lt;4.00=A-, 3.00–&lt;3.50=B, 2.00–&lt;3.00=C, 1.00–&lt;2.00=D, &lt;1.00=F.</t>
    </r>
  </si>
  <si>
    <t>Bkiæbv `vimvb</t>
  </si>
  <si>
    <t>Zv'jxgyj Bmjvg</t>
  </si>
  <si>
    <t>evsjv I e¨vKiY</t>
  </si>
  <si>
    <t>Bs‡iwR I MÖvgvi</t>
  </si>
  <si>
    <t>KziAvb gvRx`</t>
  </si>
  <si>
    <t>BwZnvm, f~‡Mvj I mgvR</t>
  </si>
  <si>
    <t>mvewibv ZvIwmb</t>
  </si>
  <si>
    <t>ZvmwcÖqv Rvnvb</t>
  </si>
  <si>
    <t>dvIwRqv Zvevmmyg</t>
  </si>
  <si>
    <t>RvbœvZyj †di‡`Šm</t>
  </si>
  <si>
    <t>D‡¤§ Avqgvb</t>
  </si>
  <si>
    <t>BmivZ Rvnvb</t>
  </si>
  <si>
    <t>mvw`qv Av³vi</t>
  </si>
  <si>
    <t>Avdwib myjZvbv</t>
  </si>
  <si>
    <t>gwiqg gvneye</t>
  </si>
  <si>
    <t>gwiqg Kvgiæj</t>
  </si>
  <si>
    <t>Zvmwjgv gxg</t>
  </si>
  <si>
    <t>G‡mv Aviex wkwL</t>
  </si>
  <si>
    <t>wgkKvZyj RvbœvZ</t>
  </si>
  <si>
    <t>wgdZvûj gvwniv</t>
  </si>
  <si>
    <t>ivBmv Av³vi</t>
  </si>
  <si>
    <t>mygvBqv Av³vi</t>
  </si>
  <si>
    <t>ZvwiLyj Bmjvg</t>
  </si>
  <si>
    <t>evsjv I evsjv e¨vKiY</t>
  </si>
  <si>
    <t>AvZ-Zvgixbyj wKZvex</t>
  </si>
  <si>
    <t>†e‡nkZx †RIi</t>
  </si>
  <si>
    <t>gxhvbym mid</t>
  </si>
  <si>
    <t>mvw`qvZzZ Zvbnv</t>
  </si>
  <si>
    <t>Avwikv myjZvb</t>
  </si>
  <si>
    <t>nvdmv Av³vi</t>
  </si>
  <si>
    <t>Avdwib Av³vi</t>
  </si>
  <si>
    <t>mvbwR`v myjZvbv</t>
  </si>
  <si>
    <t>Avwbmv Zvev”Qyg</t>
  </si>
  <si>
    <t>wewe †ivKvBqv</t>
  </si>
  <si>
    <t>Zvevmmyg Av³vi</t>
  </si>
  <si>
    <t>dv‡Zgv Av³vi</t>
  </si>
  <si>
    <t>wewe hqbe</t>
  </si>
  <si>
    <t>bymivZ Rvnvb</t>
  </si>
  <si>
    <t>ZvQwcÖqv Av³vi</t>
  </si>
  <si>
    <t>Av‡qkv nK</t>
  </si>
  <si>
    <t>mvw`qv ingvb</t>
  </si>
  <si>
    <t>ûgvBiv Av³vi</t>
  </si>
  <si>
    <t>Aviex</t>
  </si>
  <si>
    <t xml:space="preserve">gygZvwnbv (gxg)  </t>
  </si>
  <si>
    <t xml:space="preserve">Aveivi gvngy`  </t>
  </si>
  <si>
    <t xml:space="preserve">gvBmv RvbœvZ  </t>
  </si>
  <si>
    <t xml:space="preserve">ivBqvb †nv‡mb  </t>
  </si>
  <si>
    <t xml:space="preserve">Imgvb MwY  </t>
  </si>
  <si>
    <t>KziAvb gvwR`</t>
  </si>
  <si>
    <t>ZvRex`</t>
  </si>
  <si>
    <t>‡`vqv I gvmvwqj</t>
  </si>
  <si>
    <t>Avgj I AvLjvK</t>
  </si>
  <si>
    <t>gynv. Avãyjøvn Avj Ryev‡qi</t>
  </si>
  <si>
    <t>gynv. Avinvg fyuBqv</t>
  </si>
  <si>
    <t>gynv. RyevBi †nv‡mb</t>
  </si>
  <si>
    <t>gynv. Avãyjøvn Avj kvwnb</t>
  </si>
  <si>
    <t>gynv. kvwnb DÏxb</t>
  </si>
  <si>
    <t>gynv. Avwmd DÏxb</t>
  </si>
  <si>
    <t>gynv. b~i bex Avwiqvb</t>
  </si>
  <si>
    <t>gynv. AvQjvg DÏxb</t>
  </si>
  <si>
    <t>gvngy` AvDmvd w`nvb</t>
  </si>
  <si>
    <t>gynv. Bgvg †nv‡mb</t>
  </si>
  <si>
    <t>gynv. †mŠif †nv‡mb</t>
  </si>
  <si>
    <t>gynv. Avãyjøvn Avj mv‡qg</t>
  </si>
  <si>
    <t>gynv. mvdIqvb Bmjvg</t>
  </si>
  <si>
    <t>gynv. Av`bvbyj Kixg</t>
  </si>
  <si>
    <t>gynv. gwbiæj Bmjvg mvweZ</t>
  </si>
  <si>
    <t>gynv. Avãyi ingvb</t>
  </si>
  <si>
    <t>gynv. RybvB` †nv‡mb</t>
  </si>
  <si>
    <t>gynv. Avey mvC`</t>
  </si>
  <si>
    <t>gynv. jvexe web mvBdyj</t>
  </si>
  <si>
    <t>gy&amp;nv. Avey g~mv</t>
  </si>
  <si>
    <t>gynv. bynvb Kixg</t>
  </si>
  <si>
    <t>gynv. kvnv`vZ †nv‡mb</t>
  </si>
  <si>
    <t>gynv. iweDj †nv‡mb</t>
  </si>
  <si>
    <t>gynv. mvweŸi †nv‡mb</t>
  </si>
  <si>
    <t>gynv. myjvBgvb</t>
  </si>
  <si>
    <t>gynv. Avãyj gywgb</t>
  </si>
  <si>
    <t>gynv. Dgv‡qi nvmvb</t>
  </si>
  <si>
    <t>Formula Test — Dense Rank</t>
  </si>
  <si>
    <t>Test</t>
  </si>
  <si>
    <t>Average</t>
  </si>
  <si>
    <t>Expected Rank</t>
  </si>
  <si>
    <t>Actual Rank</t>
  </si>
  <si>
    <t>Status</t>
  </si>
  <si>
    <t>TEST 1</t>
  </si>
  <si>
    <r>
      <rPr>
        <sz val="10"/>
        <rFont val="Noto Sans Bengali"/>
        <charset val="1"/>
      </rPr>
      <t>1</t>
    </r>
    <r>
      <rPr>
        <sz val="10"/>
        <rFont val="Lohit Devanagari"/>
        <family val="2"/>
        <charset val="1"/>
      </rPr>
      <t>ম</t>
    </r>
  </si>
  <si>
    <r>
      <rPr>
        <sz val="10"/>
        <rFont val="Noto Sans Bengali"/>
        <charset val="1"/>
      </rPr>
      <t>2</t>
    </r>
    <r>
      <rPr>
        <sz val="10"/>
        <rFont val="Lohit Devanagari"/>
        <family val="2"/>
        <charset val="1"/>
      </rPr>
      <t>য়</t>
    </r>
  </si>
  <si>
    <r>
      <rPr>
        <sz val="10"/>
        <rFont val="Noto Sans Bengali"/>
        <charset val="1"/>
      </rPr>
      <t>3</t>
    </r>
    <r>
      <rPr>
        <sz val="10"/>
        <rFont val="Lohit Devanagari"/>
        <family val="2"/>
        <charset val="1"/>
      </rPr>
      <t>য়</t>
    </r>
  </si>
  <si>
    <t>TEST 2</t>
  </si>
  <si>
    <t>TEST 3</t>
  </si>
  <si>
    <t xml:space="preserve">ûgvqiv Avdivn </t>
  </si>
  <si>
    <t>Avwei †nv‡mb</t>
  </si>
  <si>
    <t>gvBgybv bvCgv</t>
  </si>
  <si>
    <t>RvbœvZzb bvCgv</t>
  </si>
  <si>
    <t xml:space="preserve">gynv: nK AvbvQ  </t>
  </si>
  <si>
    <t xml:space="preserve">Avãyjøvn Avj AvbvQ-1 </t>
  </si>
  <si>
    <t xml:space="preserve">Avãyj Avwjg  Avjex </t>
  </si>
  <si>
    <t xml:space="preserve">dvwZgv Zvevmmyg  </t>
  </si>
  <si>
    <t xml:space="preserve">gynv: Avwjg`vi  </t>
  </si>
  <si>
    <t>mvdIqvb  Avn‡g`</t>
  </si>
  <si>
    <t xml:space="preserve">mv‡qg Avj dvnwg </t>
  </si>
  <si>
    <t>Avwddv Zvevm&amp;myg</t>
  </si>
  <si>
    <t>Avãyjøvn Avj AvbvQ-2</t>
  </si>
  <si>
    <t>BgwZqvR Avng`</t>
  </si>
  <si>
    <t>me©†gvU
b¤^i</t>
  </si>
  <si>
    <t>gynv. Dgv‡qi ZvDwmd</t>
  </si>
  <si>
    <t>evwl©K cixÿv-1448 wnRix/2026 Cmvqx</t>
  </si>
  <si>
    <t xml:space="preserve">            evwl©K cixÿv-1448 wnRix/2026 Cmvqx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</si>
</sst>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#"/>
  </numFmts>
  <fonts count="53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22"/>
      <color theme="1"/>
      <name val="SutonnyMJ"/>
      <charset val="1"/>
    </font>
    <font>
      <sz val="18"/>
      <color theme="1"/>
      <name val="SutonnyMJ"/>
      <charset val="1"/>
    </font>
    <font>
      <sz val="11"/>
      <name val="Noto Sans Bengali"/>
      <charset val="1"/>
    </font>
    <font>
      <b/>
      <sz val="20"/>
      <color rgb="FFC00000"/>
      <name val="SutonnyMJ"/>
      <charset val="1"/>
    </font>
    <font>
      <sz val="14"/>
      <name val="Times New Roman"/>
      <family val="1"/>
      <charset val="1"/>
    </font>
    <font>
      <b/>
      <sz val="24"/>
      <color theme="9"/>
      <name val="SutonnyMJ"/>
      <charset val="1"/>
    </font>
    <font>
      <b/>
      <sz val="26"/>
      <color rgb="FF7030A0"/>
      <name val="SutonnyMJ"/>
      <charset val="1"/>
    </font>
    <font>
      <sz val="14"/>
      <color rgb="FF1F4E78"/>
      <name val="SutonnyMJ"/>
      <charset val="1"/>
    </font>
    <font>
      <sz val="30"/>
      <color rgb="FFC00000"/>
      <name val="SutonnyMJ"/>
      <charset val="1"/>
    </font>
    <font>
      <sz val="24"/>
      <color rgb="FF00B0F0"/>
      <name val="SutonnyMJ"/>
      <charset val="1"/>
    </font>
    <font>
      <b/>
      <sz val="14"/>
      <color rgb="FF1F4E78"/>
      <name val="SutonnyMJ"/>
      <charset val="1"/>
    </font>
    <font>
      <b/>
      <sz val="14"/>
      <color rgb="FF1F4E78"/>
      <name val="Agency FB"/>
      <family val="2"/>
      <charset val="1"/>
    </font>
    <font>
      <sz val="10"/>
      <color theme="1"/>
      <name val="Calibri"/>
      <family val="2"/>
      <charset val="1"/>
    </font>
    <font>
      <sz val="18"/>
      <name val="SutonnyMJ"/>
      <charset val="1"/>
    </font>
    <font>
      <sz val="16"/>
      <name val="Times New Roman"/>
      <family val="1"/>
      <charset val="1"/>
    </font>
    <font>
      <sz val="18"/>
      <color rgb="FF000000"/>
      <name val="SutonnyMJ"/>
      <charset val="1"/>
    </font>
    <font>
      <sz val="15"/>
      <name val="Noto Sans Bengali"/>
      <charset val="1"/>
    </font>
    <font>
      <sz val="15"/>
      <name val="Lohit Devanagari"/>
      <family val="2"/>
      <charset val="1"/>
    </font>
    <font>
      <sz val="11"/>
      <name val="Lohit Devanagari"/>
      <family val="2"/>
      <charset val="1"/>
    </font>
    <font>
      <b/>
      <sz val="11"/>
      <color rgb="FF1F4E78"/>
      <name val="Lohit Devanagari"/>
      <family val="2"/>
      <charset val="1"/>
    </font>
    <font>
      <i/>
      <sz val="10"/>
      <color rgb="FF666666"/>
      <name val="Noto Sans Bengali"/>
      <charset val="1"/>
    </font>
    <font>
      <i/>
      <sz val="10"/>
      <color rgb="FF666666"/>
      <name val="Lohit Devanagari"/>
      <family val="2"/>
      <charset val="1"/>
    </font>
    <font>
      <b/>
      <sz val="22"/>
      <color theme="9"/>
      <name val="SutonnyMJ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8"/>
      <name val="Times New Roman"/>
      <family val="1"/>
      <charset val="1"/>
    </font>
    <font>
      <sz val="11"/>
      <color rgb="FF000000"/>
      <name val="Calibri"/>
      <charset val="1"/>
    </font>
    <font>
      <b/>
      <sz val="22"/>
      <color rgb="FF000000"/>
      <name val="SutonnyMJ"/>
      <charset val="1"/>
    </font>
    <font>
      <b/>
      <sz val="14"/>
      <color rgb="FF1F4E78"/>
      <name val="Agency FB"/>
      <charset val="1"/>
    </font>
    <font>
      <sz val="10"/>
      <color rgb="FF000000"/>
      <name val="Calibri"/>
      <charset val="1"/>
    </font>
    <font>
      <sz val="18"/>
      <name val="Times New Roman"/>
      <charset val="1"/>
    </font>
    <font>
      <sz val="15"/>
      <name val="Lohit Devanagari"/>
      <charset val="1"/>
    </font>
    <font>
      <sz val="11"/>
      <name val="SutonnyMJ"/>
      <charset val="1"/>
    </font>
    <font>
      <sz val="11"/>
      <name val="Lohit Devanagari"/>
      <charset val="1"/>
    </font>
    <font>
      <b/>
      <sz val="11"/>
      <color rgb="FF1F4E78"/>
      <name val="Lohit Devanagari"/>
      <charset val="1"/>
    </font>
    <font>
      <i/>
      <sz val="10"/>
      <color rgb="FF666666"/>
      <name val="Lohit Devanagari"/>
      <family val="2"/>
    </font>
    <font>
      <b/>
      <sz val="10"/>
      <name val="Noto Sans Bengali"/>
      <charset val="1"/>
    </font>
    <font>
      <sz val="10"/>
      <name val="Noto Sans Bengali"/>
      <charset val="1"/>
    </font>
    <font>
      <sz val="10"/>
      <name val="Lohit Devanagari"/>
      <family val="2"/>
      <charset val="1"/>
    </font>
    <font>
      <sz val="11"/>
      <color theme="1"/>
      <name val="Calibri"/>
      <family val="2"/>
      <charset val="1"/>
    </font>
    <font>
      <sz val="16"/>
      <color rgb="FF000000"/>
      <name val="SutonnyMJ"/>
    </font>
    <font>
      <b/>
      <sz val="16"/>
      <color rgb="FF7030A0"/>
      <name val="SutonnyMJ"/>
    </font>
    <font>
      <b/>
      <sz val="16"/>
      <color rgb="FFC00000"/>
      <name val="SutonnyMJ"/>
    </font>
    <font>
      <sz val="16"/>
      <name val="SutonnyMJ"/>
    </font>
    <font>
      <sz val="16"/>
      <name val="Calibri"/>
      <family val="2"/>
      <charset val="1"/>
    </font>
    <font>
      <sz val="16"/>
      <name val="Times New Roman"/>
      <family val="1"/>
    </font>
    <font>
      <sz val="16"/>
      <color rgb="FFBF0000"/>
      <name val="SutonnyMJ"/>
    </font>
    <font>
      <sz val="16"/>
      <color theme="1"/>
      <name val="SutonnyMJ"/>
    </font>
    <font>
      <b/>
      <sz val="24"/>
      <color theme="9"/>
      <name val="SutonnyMJ"/>
    </font>
    <font>
      <b/>
      <sz val="22"/>
      <color theme="9"/>
      <name val="SutonnyMJ"/>
    </font>
    <font>
      <b/>
      <sz val="22"/>
      <color rgb="FFC00000"/>
      <name val="SutonnyMJ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</fills>
  <borders count="5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1" fillId="0" borderId="0"/>
    <xf numFmtId="0" fontId="1" fillId="0" borderId="0">
      <alignment vertical="center"/>
    </xf>
  </cellStyleXfs>
  <cellXfs count="223">
    <xf numFmtId="0" fontId="0" fillId="0" borderId="0" xfId="0"/>
    <xf numFmtId="0" fontId="0" fillId="0" borderId="0" xfId="0" applyAlignment="1"/>
    <xf numFmtId="0" fontId="2" fillId="0" borderId="0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Alignment="1">
      <alignment horizontal="center"/>
    </xf>
    <xf numFmtId="1" fontId="15" fillId="0" borderId="22" xfId="0" applyNumberFormat="1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1" fontId="0" fillId="0" borderId="0" xfId="0" applyNumberFormat="1" applyAlignment="1"/>
    <xf numFmtId="2" fontId="0" fillId="0" borderId="0" xfId="0" applyNumberFormat="1" applyAlignment="1"/>
    <xf numFmtId="0" fontId="0" fillId="0" borderId="0" xfId="0" applyBorder="1"/>
    <xf numFmtId="1" fontId="15" fillId="0" borderId="25" xfId="0" applyNumberFormat="1" applyFont="1" applyBorder="1" applyAlignment="1">
      <alignment horizontal="center" vertical="center" wrapText="1"/>
    </xf>
    <xf numFmtId="1" fontId="15" fillId="0" borderId="26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 wrapText="1"/>
    </xf>
    <xf numFmtId="164" fontId="18" fillId="0" borderId="0" xfId="0" applyNumberFormat="1" applyFont="1" applyBorder="1" applyAlignment="1">
      <alignment horizontal="center" vertical="center" wrapText="1"/>
    </xf>
    <xf numFmtId="2" fontId="18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" fontId="0" fillId="0" borderId="0" xfId="0" applyNumberFormat="1" applyBorder="1" applyAlignment="1"/>
    <xf numFmtId="2" fontId="0" fillId="0" borderId="0" xfId="0" applyNumberFormat="1" applyBorder="1" applyAlignment="1"/>
    <xf numFmtId="0" fontId="20" fillId="0" borderId="0" xfId="0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0" fontId="4" fillId="0" borderId="0" xfId="0" applyFont="1" applyBorder="1" applyAlignment="1">
      <alignment horizontal="center"/>
    </xf>
    <xf numFmtId="0" fontId="25" fillId="0" borderId="0" xfId="0" applyFont="1" applyAlignment="1">
      <alignment horizontal="center"/>
    </xf>
    <xf numFmtId="1" fontId="26" fillId="0" borderId="0" xfId="0" applyNumberFormat="1" applyFont="1" applyAlignment="1"/>
    <xf numFmtId="2" fontId="26" fillId="0" borderId="0" xfId="0" applyNumberFormat="1" applyFont="1" applyAlignment="1"/>
    <xf numFmtId="0" fontId="0" fillId="0" borderId="0" xfId="0" applyAlignment="1">
      <alignment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1" fontId="15" fillId="0" borderId="0" xfId="0" applyNumberFormat="1" applyFont="1" applyAlignment="1">
      <alignment horizontal="center" vertical="center" wrapText="1"/>
    </xf>
    <xf numFmtId="2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2" applyFont="1" applyAlignment="1"/>
    <xf numFmtId="0" fontId="1" fillId="0" borderId="0" xfId="2" applyFont="1" applyAlignment="1">
      <alignment vertical="center"/>
    </xf>
    <xf numFmtId="0" fontId="29" fillId="0" borderId="0" xfId="2" applyFont="1" applyAlignment="1">
      <alignment vertical="center" wrapText="1"/>
    </xf>
    <xf numFmtId="0" fontId="4" fillId="0" borderId="27" xfId="2" applyFont="1" applyBorder="1" applyAlignment="1">
      <alignment vertical="center"/>
    </xf>
    <xf numFmtId="0" fontId="4" fillId="0" borderId="32" xfId="2" applyFont="1" applyBorder="1" applyAlignment="1">
      <alignment vertical="center"/>
    </xf>
    <xf numFmtId="0" fontId="4" fillId="0" borderId="33" xfId="2" applyFont="1" applyBorder="1" applyAlignment="1">
      <alignment vertical="center"/>
    </xf>
    <xf numFmtId="0" fontId="30" fillId="0" borderId="0" xfId="2" applyFont="1" applyAlignment="1">
      <alignment vertical="center"/>
    </xf>
    <xf numFmtId="0" fontId="31" fillId="0" borderId="0" xfId="2" applyFont="1" applyAlignment="1">
      <alignment horizontal="center"/>
    </xf>
    <xf numFmtId="1" fontId="28" fillId="0" borderId="0" xfId="2" applyNumberFormat="1" applyFont="1" applyAlignment="1"/>
    <xf numFmtId="2" fontId="28" fillId="0" borderId="0" xfId="2" applyNumberFormat="1" applyFont="1" applyAlignment="1"/>
    <xf numFmtId="0" fontId="15" fillId="0" borderId="0" xfId="2" applyFont="1" applyAlignment="1">
      <alignment horizontal="center" vertical="center" wrapText="1"/>
    </xf>
    <xf numFmtId="0" fontId="17" fillId="0" borderId="0" xfId="2" applyFont="1" applyAlignment="1">
      <alignment vertical="center" wrapText="1"/>
    </xf>
    <xf numFmtId="1" fontId="15" fillId="0" borderId="0" xfId="2" applyNumberFormat="1" applyFont="1" applyAlignment="1">
      <alignment horizontal="center" vertical="center" wrapText="1"/>
    </xf>
    <xf numFmtId="2" fontId="32" fillId="0" borderId="0" xfId="2" applyNumberFormat="1" applyFont="1" applyAlignment="1">
      <alignment horizontal="center" vertical="center" wrapText="1"/>
    </xf>
    <xf numFmtId="0" fontId="32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33" fillId="0" borderId="0" xfId="2" applyFont="1" applyAlignment="1">
      <alignment horizontal="left" vertical="center" wrapText="1"/>
    </xf>
    <xf numFmtId="164" fontId="18" fillId="0" borderId="0" xfId="2" applyNumberFormat="1" applyFont="1" applyAlignment="1">
      <alignment horizontal="center" vertical="center" wrapText="1"/>
    </xf>
    <xf numFmtId="2" fontId="18" fillId="0" borderId="0" xfId="2" applyNumberFormat="1" applyFont="1" applyAlignment="1">
      <alignment horizontal="center" vertical="center" wrapText="1"/>
    </xf>
    <xf numFmtId="0" fontId="3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35" fillId="0" borderId="0" xfId="2" applyFont="1" applyAlignment="1">
      <alignment horizontal="left" vertical="center" wrapText="1"/>
    </xf>
    <xf numFmtId="164" fontId="4" fillId="0" borderId="0" xfId="2" applyNumberFormat="1" applyFont="1" applyAlignment="1">
      <alignment horizontal="center" vertical="center" wrapText="1"/>
    </xf>
    <xf numFmtId="2" fontId="4" fillId="0" borderId="0" xfId="2" applyNumberFormat="1" applyFont="1" applyAlignment="1">
      <alignment horizontal="center" vertical="center" wrapText="1"/>
    </xf>
    <xf numFmtId="0" fontId="4" fillId="0" borderId="0" xfId="2" applyFont="1" applyAlignment="1">
      <alignment horizontal="center"/>
    </xf>
    <xf numFmtId="2" fontId="15" fillId="0" borderId="43" xfId="0" applyNumberFormat="1" applyFont="1" applyBorder="1" applyAlignment="1">
      <alignment horizontal="center" vertical="center" wrapText="1"/>
    </xf>
    <xf numFmtId="2" fontId="16" fillId="0" borderId="43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1" fontId="15" fillId="0" borderId="0" xfId="0" applyNumberFormat="1" applyFont="1" applyBorder="1" applyAlignment="1">
      <alignment horizontal="center" vertical="center" wrapText="1"/>
    </xf>
    <xf numFmtId="2" fontId="27" fillId="0" borderId="0" xfId="0" applyNumberFormat="1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0" fillId="0" borderId="0" xfId="1" applyFont="1" applyAlignment="1"/>
    <xf numFmtId="0" fontId="0" fillId="0" borderId="0" xfId="1" applyFont="1"/>
    <xf numFmtId="0" fontId="2" fillId="0" borderId="0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12" fillId="0" borderId="0" xfId="1" applyFont="1" applyBorder="1" applyAlignment="1">
      <alignment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13" fillId="0" borderId="0" xfId="1" applyFont="1" applyBorder="1" applyAlignment="1">
      <alignment vertical="center"/>
    </xf>
    <xf numFmtId="0" fontId="26" fillId="0" borderId="0" xfId="0" applyFont="1" applyAlignment="1"/>
    <xf numFmtId="2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164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2" fontId="16" fillId="0" borderId="20" xfId="0" applyNumberFormat="1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21" fillId="2" borderId="0" xfId="0" applyFont="1" applyFill="1" applyBorder="1" applyAlignment="1">
      <alignment horizontal="center"/>
    </xf>
    <xf numFmtId="0" fontId="22" fillId="0" borderId="0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36" fillId="2" borderId="0" xfId="2" applyFont="1" applyFill="1" applyBorder="1" applyAlignment="1">
      <alignment horizontal="center"/>
    </xf>
    <xf numFmtId="0" fontId="22" fillId="0" borderId="0" xfId="2" applyFont="1" applyBorder="1" applyAlignment="1">
      <alignment wrapText="1"/>
    </xf>
    <xf numFmtId="0" fontId="17" fillId="0" borderId="31" xfId="2" applyFont="1" applyBorder="1" applyAlignment="1">
      <alignment horizontal="center" vertical="center"/>
    </xf>
    <xf numFmtId="0" fontId="36" fillId="2" borderId="0" xfId="0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42" fillId="0" borderId="22" xfId="0" applyFont="1" applyBorder="1" applyAlignment="1">
      <alignment horizontal="left" vertical="center" wrapText="1" readingOrder="1"/>
    </xf>
    <xf numFmtId="0" fontId="43" fillId="0" borderId="15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1" fontId="45" fillId="0" borderId="21" xfId="0" applyNumberFormat="1" applyFont="1" applyBorder="1" applyAlignment="1">
      <alignment horizontal="center" vertical="center" wrapText="1"/>
    </xf>
    <xf numFmtId="1" fontId="45" fillId="0" borderId="22" xfId="0" applyNumberFormat="1" applyFont="1" applyBorder="1" applyAlignment="1">
      <alignment horizontal="center" vertical="center" wrapText="1"/>
    </xf>
    <xf numFmtId="2" fontId="45" fillId="0" borderId="22" xfId="0" applyNumberFormat="1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1" fontId="42" fillId="0" borderId="22" xfId="0" applyNumberFormat="1" applyFont="1" applyBorder="1" applyAlignment="1">
      <alignment horizontal="center" vertical="center" wrapText="1"/>
    </xf>
    <xf numFmtId="1" fontId="46" fillId="0" borderId="22" xfId="0" applyNumberFormat="1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1" fontId="45" fillId="0" borderId="25" xfId="0" applyNumberFormat="1" applyFont="1" applyBorder="1" applyAlignment="1">
      <alignment horizontal="center" vertical="center" wrapText="1"/>
    </xf>
    <xf numFmtId="1" fontId="45" fillId="0" borderId="26" xfId="0" applyNumberFormat="1" applyFont="1" applyBorder="1" applyAlignment="1">
      <alignment horizontal="center" vertical="center" wrapText="1"/>
    </xf>
    <xf numFmtId="0" fontId="43" fillId="0" borderId="34" xfId="2" applyFont="1" applyBorder="1" applyAlignment="1">
      <alignment horizontal="center" vertical="center" wrapText="1"/>
    </xf>
    <xf numFmtId="0" fontId="44" fillId="0" borderId="16" xfId="2" applyFont="1" applyBorder="1" applyAlignment="1">
      <alignment horizontal="center" vertical="center" wrapText="1"/>
    </xf>
    <xf numFmtId="0" fontId="43" fillId="0" borderId="16" xfId="2" applyFont="1" applyBorder="1" applyAlignment="1">
      <alignment horizontal="center" vertical="center" wrapText="1"/>
    </xf>
    <xf numFmtId="0" fontId="43" fillId="0" borderId="17" xfId="2" applyFont="1" applyBorder="1" applyAlignment="1">
      <alignment horizontal="center" vertical="center" wrapText="1"/>
    </xf>
    <xf numFmtId="0" fontId="44" fillId="0" borderId="17" xfId="2" applyFont="1" applyBorder="1" applyAlignment="1">
      <alignment horizontal="center" vertical="center" wrapText="1"/>
    </xf>
    <xf numFmtId="0" fontId="44" fillId="0" borderId="35" xfId="2" applyFont="1" applyBorder="1" applyAlignment="1">
      <alignment horizontal="center" vertical="center" wrapText="1"/>
    </xf>
    <xf numFmtId="0" fontId="45" fillId="0" borderId="50" xfId="2" applyFont="1" applyBorder="1" applyAlignment="1">
      <alignment horizontal="center" vertical="center" wrapText="1"/>
    </xf>
    <xf numFmtId="1" fontId="45" fillId="0" borderId="21" xfId="2" applyNumberFormat="1" applyFont="1" applyBorder="1" applyAlignment="1">
      <alignment horizontal="center" vertical="center" wrapText="1"/>
    </xf>
    <xf numFmtId="1" fontId="45" fillId="0" borderId="22" xfId="2" applyNumberFormat="1" applyFont="1" applyBorder="1" applyAlignment="1">
      <alignment horizontal="center" vertical="center" wrapText="1"/>
    </xf>
    <xf numFmtId="1" fontId="45" fillId="0" borderId="17" xfId="2" applyNumberFormat="1" applyFont="1" applyBorder="1" applyAlignment="1">
      <alignment horizontal="center" vertical="center" wrapText="1"/>
    </xf>
    <xf numFmtId="2" fontId="45" fillId="0" borderId="17" xfId="2" applyNumberFormat="1" applyFont="1" applyBorder="1" applyAlignment="1">
      <alignment horizontal="center" vertical="center" wrapText="1"/>
    </xf>
    <xf numFmtId="2" fontId="47" fillId="0" borderId="17" xfId="2" applyNumberFormat="1" applyFont="1" applyBorder="1" applyAlignment="1">
      <alignment horizontal="center" vertical="center" wrapText="1"/>
    </xf>
    <xf numFmtId="0" fontId="47" fillId="0" borderId="22" xfId="2" applyFont="1" applyBorder="1" applyAlignment="1">
      <alignment horizontal="center" vertical="center" wrapText="1"/>
    </xf>
    <xf numFmtId="0" fontId="45" fillId="0" borderId="23" xfId="2" applyFont="1" applyBorder="1" applyAlignment="1">
      <alignment horizontal="center" vertical="center" wrapText="1"/>
    </xf>
    <xf numFmtId="0" fontId="45" fillId="0" borderId="19" xfId="2" applyFont="1" applyBorder="1" applyAlignment="1">
      <alignment horizontal="center" vertical="center" wrapText="1"/>
    </xf>
    <xf numFmtId="1" fontId="42" fillId="0" borderId="22" xfId="2" applyNumberFormat="1" applyFont="1" applyBorder="1" applyAlignment="1">
      <alignment horizontal="center" vertical="center" wrapText="1"/>
    </xf>
    <xf numFmtId="0" fontId="45" fillId="0" borderId="27" xfId="2" applyFont="1" applyBorder="1" applyAlignment="1">
      <alignment horizontal="center" vertical="center" wrapText="1"/>
    </xf>
    <xf numFmtId="1" fontId="45" fillId="0" borderId="28" xfId="2" applyNumberFormat="1" applyFont="1" applyBorder="1" applyAlignment="1">
      <alignment horizontal="center" vertical="center" wrapText="1"/>
    </xf>
    <xf numFmtId="1" fontId="45" fillId="0" borderId="29" xfId="2" applyNumberFormat="1" applyFont="1" applyBorder="1" applyAlignment="1">
      <alignment horizontal="center" vertical="center" wrapText="1"/>
    </xf>
    <xf numFmtId="2" fontId="45" fillId="0" borderId="16" xfId="2" applyNumberFormat="1" applyFont="1" applyBorder="1" applyAlignment="1">
      <alignment horizontal="center" vertical="center" wrapText="1"/>
    </xf>
    <xf numFmtId="2" fontId="47" fillId="0" borderId="16" xfId="2" applyNumberFormat="1" applyFont="1" applyBorder="1" applyAlignment="1">
      <alignment horizontal="center" vertical="center" wrapText="1"/>
    </xf>
    <xf numFmtId="0" fontId="47" fillId="0" borderId="29" xfId="2" applyFont="1" applyBorder="1" applyAlignment="1">
      <alignment horizontal="center" vertical="center" wrapText="1"/>
    </xf>
    <xf numFmtId="0" fontId="45" fillId="0" borderId="37" xfId="2" applyFont="1" applyBorder="1" applyAlignment="1">
      <alignment horizontal="center" vertical="center" wrapText="1"/>
    </xf>
    <xf numFmtId="0" fontId="45" fillId="0" borderId="51" xfId="2" applyFont="1" applyBorder="1" applyAlignment="1">
      <alignment horizontal="center" vertical="center" wrapText="1"/>
    </xf>
    <xf numFmtId="1" fontId="45" fillId="0" borderId="20" xfId="2" applyNumberFormat="1" applyFont="1" applyBorder="1" applyAlignment="1">
      <alignment horizontal="center" vertical="center" wrapText="1"/>
    </xf>
    <xf numFmtId="2" fontId="45" fillId="0" borderId="20" xfId="2" applyNumberFormat="1" applyFont="1" applyBorder="1" applyAlignment="1">
      <alignment horizontal="center" vertical="center" wrapText="1"/>
    </xf>
    <xf numFmtId="2" fontId="47" fillId="0" borderId="20" xfId="2" applyNumberFormat="1" applyFont="1" applyBorder="1" applyAlignment="1">
      <alignment horizontal="center" vertical="center" wrapText="1"/>
    </xf>
    <xf numFmtId="0" fontId="47" fillId="0" borderId="20" xfId="2" applyFont="1" applyBorder="1" applyAlignment="1">
      <alignment horizontal="center" vertical="center" wrapText="1"/>
    </xf>
    <xf numFmtId="0" fontId="45" fillId="0" borderId="20" xfId="2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 wrapText="1"/>
    </xf>
    <xf numFmtId="0" fontId="43" fillId="0" borderId="40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 wrapText="1"/>
    </xf>
    <xf numFmtId="0" fontId="44" fillId="0" borderId="41" xfId="0" applyFont="1" applyBorder="1" applyAlignment="1">
      <alignment horizontal="center" vertical="center" wrapText="1"/>
    </xf>
    <xf numFmtId="0" fontId="45" fillId="0" borderId="42" xfId="0" applyFont="1" applyBorder="1" applyAlignment="1">
      <alignment horizontal="center" vertical="center" wrapText="1"/>
    </xf>
    <xf numFmtId="1" fontId="48" fillId="0" borderId="21" xfId="0" applyNumberFormat="1" applyFont="1" applyBorder="1" applyAlignment="1">
      <alignment horizontal="center" vertical="center" wrapText="1"/>
    </xf>
    <xf numFmtId="1" fontId="48" fillId="0" borderId="22" xfId="0" applyNumberFormat="1" applyFont="1" applyBorder="1" applyAlignment="1">
      <alignment horizontal="center" vertical="center" wrapText="1"/>
    </xf>
    <xf numFmtId="1" fontId="45" fillId="0" borderId="43" xfId="0" applyNumberFormat="1" applyFont="1" applyBorder="1" applyAlignment="1">
      <alignment horizontal="center" vertical="center" wrapText="1"/>
    </xf>
    <xf numFmtId="2" fontId="45" fillId="0" borderId="43" xfId="0" applyNumberFormat="1" applyFont="1" applyBorder="1" applyAlignment="1">
      <alignment horizontal="center" vertical="center" wrapText="1"/>
    </xf>
    <xf numFmtId="0" fontId="45" fillId="0" borderId="36" xfId="0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5" fillId="0" borderId="30" xfId="0" applyFont="1" applyBorder="1" applyAlignment="1">
      <alignment horizontal="center" vertical="center" wrapText="1"/>
    </xf>
    <xf numFmtId="1" fontId="49" fillId="0" borderId="21" xfId="0" applyNumberFormat="1" applyFont="1" applyBorder="1" applyAlignment="1">
      <alignment horizontal="center" vertical="center" wrapText="1"/>
    </xf>
    <xf numFmtId="1" fontId="49" fillId="0" borderId="22" xfId="0" applyNumberFormat="1" applyFont="1" applyBorder="1" applyAlignment="1">
      <alignment horizontal="center" vertical="center" wrapText="1"/>
    </xf>
    <xf numFmtId="0" fontId="35" fillId="0" borderId="0" xfId="0" applyFont="1" applyBorder="1" applyAlignment="1">
      <alignment horizontal="left" vertical="center" wrapText="1"/>
    </xf>
    <xf numFmtId="0" fontId="42" fillId="0" borderId="0" xfId="0" applyFont="1" applyBorder="1" applyAlignment="1">
      <alignment horizontal="left" vertical="center" wrapText="1" readingOrder="1"/>
    </xf>
    <xf numFmtId="0" fontId="45" fillId="0" borderId="2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left" vertical="center" wrapText="1" readingOrder="1"/>
    </xf>
    <xf numFmtId="0" fontId="43" fillId="0" borderId="45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1" fontId="45" fillId="0" borderId="20" xfId="0" applyNumberFormat="1" applyFont="1" applyBorder="1" applyAlignment="1">
      <alignment horizontal="center" vertical="center" wrapText="1"/>
    </xf>
    <xf numFmtId="2" fontId="45" fillId="0" borderId="20" xfId="0" applyNumberFormat="1" applyFont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1" fontId="45" fillId="0" borderId="48" xfId="0" applyNumberFormat="1" applyFont="1" applyBorder="1" applyAlignment="1">
      <alignment horizontal="center" vertical="center" wrapText="1"/>
    </xf>
    <xf numFmtId="2" fontId="16" fillId="0" borderId="48" xfId="0" applyNumberFormat="1" applyFont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 wrapText="1"/>
    </xf>
    <xf numFmtId="0" fontId="50" fillId="0" borderId="0" xfId="1" applyFont="1" applyBorder="1" applyAlignment="1">
      <alignment horizontal="center" vertical="center" wrapText="1"/>
    </xf>
    <xf numFmtId="0" fontId="50" fillId="0" borderId="0" xfId="0" applyFont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52" fillId="0" borderId="0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5" fillId="0" borderId="27" xfId="0" applyFont="1" applyBorder="1" applyAlignment="1">
      <alignment horizontal="center" vertical="center" wrapText="1"/>
    </xf>
    <xf numFmtId="1" fontId="45" fillId="0" borderId="28" xfId="0" applyNumberFormat="1" applyFont="1" applyBorder="1" applyAlignment="1">
      <alignment horizontal="center" vertical="center" wrapText="1"/>
    </xf>
    <xf numFmtId="1" fontId="45" fillId="0" borderId="29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1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B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79646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313920</xdr:colOff>
      <xdr:row>2</xdr:row>
      <xdr:rowOff>0</xdr:rowOff>
    </xdr:from>
    <xdr:to>
      <xdr:col>1</xdr:col>
      <xdr:colOff>1423080</xdr:colOff>
      <xdr:row>8</xdr:row>
      <xdr:rowOff>138600</xdr:rowOff>
    </xdr:to>
    <xdr:pic>
      <xdr:nvPicPr>
        <xdr:cNvPr id="2" name="Picture 14"/>
        <xdr:cNvPicPr/>
      </xdr:nvPicPr>
      <xdr:blipFill>
        <a:blip xmlns:r="http://schemas.openxmlformats.org/officeDocument/2006/relationships" r:embed="rId1"/>
        <a:stretch/>
      </xdr:blipFill>
      <xdr:spPr>
        <a:xfrm>
          <a:off x="313920" y="0"/>
          <a:ext cx="159228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104040</xdr:colOff>
      <xdr:row>6</xdr:row>
      <xdr:rowOff>265680</xdr:rowOff>
    </xdr:from>
    <xdr:to>
      <xdr:col>7</xdr:col>
      <xdr:colOff>727920</xdr:colOff>
      <xdr:row>8</xdr:row>
      <xdr:rowOff>156600</xdr:rowOff>
    </xdr:to>
    <xdr:sp macro="" textlink="">
      <xdr:nvSpPr>
        <xdr:cNvPr id="3" name="Rounded Rectangle 15"/>
        <xdr:cNvSpPr/>
      </xdr:nvSpPr>
      <xdr:spPr>
        <a:xfrm>
          <a:off x="4786560" y="1246680"/>
          <a:ext cx="221508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13320</xdr:colOff>
      <xdr:row>10</xdr:row>
      <xdr:rowOff>223920</xdr:rowOff>
    </xdr:to>
    <xdr:sp macro="" textlink="">
      <xdr:nvSpPr>
        <xdr:cNvPr id="4" name="TextBox 16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24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83880</xdr:colOff>
      <xdr:row>10</xdr:row>
      <xdr:rowOff>223920</xdr:rowOff>
    </xdr:to>
    <xdr:sp macro="" textlink="">
      <xdr:nvSpPr>
        <xdr:cNvPr id="5" name="TextBox 17"/>
        <xdr:cNvSpPr/>
      </xdr:nvSpPr>
      <xdr:spPr>
        <a:xfrm>
          <a:off x="3645720" y="1803960"/>
          <a:ext cx="27118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cÖ_g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620280</xdr:colOff>
      <xdr:row>9</xdr:row>
      <xdr:rowOff>25560</xdr:rowOff>
    </xdr:from>
    <xdr:to>
      <xdr:col>11</xdr:col>
      <xdr:colOff>559440</xdr:colOff>
      <xdr:row>10</xdr:row>
      <xdr:rowOff>226800</xdr:rowOff>
    </xdr:to>
    <xdr:sp macro="" textlink="">
      <xdr:nvSpPr>
        <xdr:cNvPr id="6" name="TextBox 18"/>
        <xdr:cNvSpPr/>
      </xdr:nvSpPr>
      <xdr:spPr>
        <a:xfrm>
          <a:off x="6894000" y="1806840"/>
          <a:ext cx="32119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126000</xdr:colOff>
      <xdr:row>9</xdr:row>
      <xdr:rowOff>25200</xdr:rowOff>
    </xdr:from>
    <xdr:to>
      <xdr:col>10</xdr:col>
      <xdr:colOff>126000</xdr:colOff>
      <xdr:row>10</xdr:row>
      <xdr:rowOff>226800</xdr:rowOff>
    </xdr:to>
    <xdr:cxnSp macro="">
      <xdr:nvCxnSpPr>
        <xdr:cNvPr id="7" name="Straight Connector 19"/>
        <xdr:cNvCxnSpPr/>
      </xdr:nvCxnSpPr>
      <xdr:spPr>
        <a:xfrm>
          <a:off x="887688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334080</xdr:colOff>
      <xdr:row>9</xdr:row>
      <xdr:rowOff>27000</xdr:rowOff>
    </xdr:from>
    <xdr:to>
      <xdr:col>5</xdr:col>
      <xdr:colOff>334080</xdr:colOff>
      <xdr:row>10</xdr:row>
      <xdr:rowOff>228600</xdr:rowOff>
    </xdr:to>
    <xdr:cxnSp macro="">
      <xdr:nvCxnSpPr>
        <xdr:cNvPr id="8" name="Straight Connector 20"/>
        <xdr:cNvCxnSpPr/>
      </xdr:nvCxnSpPr>
      <xdr:spPr>
        <a:xfrm>
          <a:off x="501660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9" name="Straight Connector 2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1546560</xdr:colOff>
      <xdr:row>2</xdr:row>
      <xdr:rowOff>56160</xdr:rowOff>
    </xdr:from>
    <xdr:to>
      <xdr:col>11</xdr:col>
      <xdr:colOff>549000</xdr:colOff>
      <xdr:row>5</xdr:row>
      <xdr:rowOff>89280</xdr:rowOff>
    </xdr:to>
    <xdr:pic>
      <xdr:nvPicPr>
        <xdr:cNvPr id="10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2029680" y="56160"/>
          <a:ext cx="8065800" cy="74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346320</xdr:colOff>
      <xdr:row>9</xdr:row>
      <xdr:rowOff>22680</xdr:rowOff>
    </xdr:from>
    <xdr:to>
      <xdr:col>2</xdr:col>
      <xdr:colOff>809280</xdr:colOff>
      <xdr:row>10</xdr:row>
      <xdr:rowOff>223920</xdr:rowOff>
    </xdr:to>
    <xdr:sp macro="" textlink="">
      <xdr:nvSpPr>
        <xdr:cNvPr id="9" name="TextBox 32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18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639360</xdr:colOff>
      <xdr:row>9</xdr:row>
      <xdr:rowOff>22680</xdr:rowOff>
    </xdr:from>
    <xdr:to>
      <xdr:col>8</xdr:col>
      <xdr:colOff>26640</xdr:colOff>
      <xdr:row>10</xdr:row>
      <xdr:rowOff>223920</xdr:rowOff>
    </xdr:to>
    <xdr:sp macro="" textlink="">
      <xdr:nvSpPr>
        <xdr:cNvPr id="10" name="TextBox 33"/>
        <xdr:cNvSpPr/>
      </xdr:nvSpPr>
      <xdr:spPr>
        <a:xfrm>
          <a:off x="3800880" y="1803960"/>
          <a:ext cx="301320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  wØZxq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571320</xdr:colOff>
      <xdr:row>9</xdr:row>
      <xdr:rowOff>25560</xdr:rowOff>
    </xdr:from>
    <xdr:to>
      <xdr:col>12</xdr:col>
      <xdr:colOff>190080</xdr:colOff>
      <xdr:row>10</xdr:row>
      <xdr:rowOff>226800</xdr:rowOff>
    </xdr:to>
    <xdr:sp macro="" textlink="">
      <xdr:nvSpPr>
        <xdr:cNvPr id="11" name="TextBox 34"/>
        <xdr:cNvSpPr/>
      </xdr:nvSpPr>
      <xdr:spPr>
        <a:xfrm>
          <a:off x="7358760" y="1806840"/>
          <a:ext cx="26395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nvit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598320</xdr:colOff>
      <xdr:row>9</xdr:row>
      <xdr:rowOff>20160</xdr:rowOff>
    </xdr:from>
    <xdr:to>
      <xdr:col>10</xdr:col>
      <xdr:colOff>598320</xdr:colOff>
      <xdr:row>10</xdr:row>
      <xdr:rowOff>221760</xdr:rowOff>
    </xdr:to>
    <xdr:cxnSp macro="">
      <xdr:nvCxnSpPr>
        <xdr:cNvPr id="12" name="Straight Connector 35"/>
        <xdr:cNvCxnSpPr/>
      </xdr:nvCxnSpPr>
      <xdr:spPr>
        <a:xfrm>
          <a:off x="8916120" y="180144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614160</xdr:colOff>
      <xdr:row>9</xdr:row>
      <xdr:rowOff>27000</xdr:rowOff>
    </xdr:from>
    <xdr:to>
      <xdr:col>5</xdr:col>
      <xdr:colOff>614160</xdr:colOff>
      <xdr:row>10</xdr:row>
      <xdr:rowOff>228600</xdr:rowOff>
    </xdr:to>
    <xdr:cxnSp macro="">
      <xdr:nvCxnSpPr>
        <xdr:cNvPr id="13" name="Straight Connector 36"/>
        <xdr:cNvCxnSpPr/>
      </xdr:nvCxnSpPr>
      <xdr:spPr>
        <a:xfrm>
          <a:off x="522612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1653480</xdr:colOff>
      <xdr:row>9</xdr:row>
      <xdr:rowOff>25200</xdr:rowOff>
    </xdr:from>
    <xdr:to>
      <xdr:col>1</xdr:col>
      <xdr:colOff>1653480</xdr:colOff>
      <xdr:row>10</xdr:row>
      <xdr:rowOff>226800</xdr:rowOff>
    </xdr:to>
    <xdr:cxnSp macro="">
      <xdr:nvCxnSpPr>
        <xdr:cNvPr id="14" name="Straight Connector 37"/>
        <xdr:cNvCxnSpPr/>
      </xdr:nvCxnSpPr>
      <xdr:spPr>
        <a:xfrm>
          <a:off x="2136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0</xdr:col>
      <xdr:colOff>280080</xdr:colOff>
      <xdr:row>2</xdr:row>
      <xdr:rowOff>0</xdr:rowOff>
    </xdr:from>
    <xdr:to>
      <xdr:col>1</xdr:col>
      <xdr:colOff>1389240</xdr:colOff>
      <xdr:row>8</xdr:row>
      <xdr:rowOff>138600</xdr:rowOff>
    </xdr:to>
    <xdr:pic>
      <xdr:nvPicPr>
        <xdr:cNvPr id="15" name="Picture 18"/>
        <xdr:cNvPicPr/>
      </xdr:nvPicPr>
      <xdr:blipFill>
        <a:blip xmlns:r="http://schemas.openxmlformats.org/officeDocument/2006/relationships" r:embed="rId1"/>
        <a:stretch/>
      </xdr:blipFill>
      <xdr:spPr>
        <a:xfrm>
          <a:off x="280080" y="0"/>
          <a:ext cx="159228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1624680</xdr:colOff>
      <xdr:row>2</xdr:row>
      <xdr:rowOff>11160</xdr:rowOff>
    </xdr:from>
    <xdr:to>
      <xdr:col>12</xdr:col>
      <xdr:colOff>414000</xdr:colOff>
      <xdr:row>5</xdr:row>
      <xdr:rowOff>55800</xdr:rowOff>
    </xdr:to>
    <xdr:pic>
      <xdr:nvPicPr>
        <xdr:cNvPr id="16" name="Picture 22"/>
        <xdr:cNvPicPr/>
      </xdr:nvPicPr>
      <xdr:blipFill>
        <a:blip xmlns:r="http://schemas.openxmlformats.org/officeDocument/2006/relationships" r:embed="rId2"/>
        <a:stretch/>
      </xdr:blipFill>
      <xdr:spPr>
        <a:xfrm>
          <a:off x="2107800" y="11160"/>
          <a:ext cx="8114400" cy="758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8</xdr:col>
      <xdr:colOff>724680</xdr:colOff>
      <xdr:row>8</xdr:row>
      <xdr:rowOff>159840</xdr:rowOff>
    </xdr:to>
    <xdr:sp macro="" textlink="">
      <xdr:nvSpPr>
        <xdr:cNvPr id="17" name="Rounded Rectangle 23"/>
        <xdr:cNvSpPr/>
      </xdr:nvSpPr>
      <xdr:spPr>
        <a:xfrm>
          <a:off x="5337000" y="1247760"/>
          <a:ext cx="2175120" cy="42660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138600</xdr:rowOff>
    </xdr:to>
    <xdr:pic>
      <xdr:nvPicPr>
        <xdr:cNvPr id="18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434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3240</xdr:colOff>
      <xdr:row>7</xdr:row>
      <xdr:rowOff>-1080</xdr:rowOff>
    </xdr:from>
    <xdr:to>
      <xdr:col>8</xdr:col>
      <xdr:colOff>489600</xdr:colOff>
      <xdr:row>8</xdr:row>
      <xdr:rowOff>156600</xdr:rowOff>
    </xdr:to>
    <xdr:sp macro="" textlink="">
      <xdr:nvSpPr>
        <xdr:cNvPr id="19" name="Rounded Rectangle 2"/>
        <xdr:cNvSpPr/>
      </xdr:nvSpPr>
      <xdr:spPr>
        <a:xfrm>
          <a:off x="5278680" y="1237320"/>
          <a:ext cx="1996560" cy="42408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167760</xdr:colOff>
      <xdr:row>10</xdr:row>
      <xdr:rowOff>223920</xdr:rowOff>
    </xdr:to>
    <xdr:sp macro="" textlink="">
      <xdr:nvSpPr>
        <xdr:cNvPr id="20" name="TextBox 3"/>
        <xdr:cNvSpPr/>
      </xdr:nvSpPr>
      <xdr:spPr>
        <a:xfrm>
          <a:off x="346320" y="1794240"/>
          <a:ext cx="28321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07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4</xdr:col>
      <xdr:colOff>111960</xdr:colOff>
      <xdr:row>9</xdr:row>
      <xdr:rowOff>22680</xdr:rowOff>
    </xdr:from>
    <xdr:to>
      <xdr:col>8</xdr:col>
      <xdr:colOff>10800</xdr:colOff>
      <xdr:row>10</xdr:row>
      <xdr:rowOff>223920</xdr:rowOff>
    </xdr:to>
    <xdr:sp macro="" textlink="">
      <xdr:nvSpPr>
        <xdr:cNvPr id="21" name="TextBox 4"/>
        <xdr:cNvSpPr/>
      </xdr:nvSpPr>
      <xdr:spPr>
        <a:xfrm>
          <a:off x="3877560" y="1794240"/>
          <a:ext cx="29188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Z…Zxq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616320</xdr:colOff>
      <xdr:row>9</xdr:row>
      <xdr:rowOff>25560</xdr:rowOff>
    </xdr:from>
    <xdr:to>
      <xdr:col>12</xdr:col>
      <xdr:colOff>559080</xdr:colOff>
      <xdr:row>10</xdr:row>
      <xdr:rowOff>226800</xdr:rowOff>
    </xdr:to>
    <xdr:sp macro="" textlink="">
      <xdr:nvSpPr>
        <xdr:cNvPr id="22" name="TextBox 5"/>
        <xdr:cNvSpPr/>
      </xdr:nvSpPr>
      <xdr:spPr>
        <a:xfrm>
          <a:off x="7401960" y="1797120"/>
          <a:ext cx="29926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nvit 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11</xdr:col>
      <xdr:colOff>103680</xdr:colOff>
      <xdr:row>9</xdr:row>
      <xdr:rowOff>25200</xdr:rowOff>
    </xdr:from>
    <xdr:to>
      <xdr:col>11</xdr:col>
      <xdr:colOff>103680</xdr:colOff>
      <xdr:row>10</xdr:row>
      <xdr:rowOff>226800</xdr:rowOff>
    </xdr:to>
    <xdr:cxnSp macro="">
      <xdr:nvCxnSpPr>
        <xdr:cNvPr id="23" name="Straight Connector 6"/>
        <xdr:cNvCxnSpPr/>
      </xdr:nvCxnSpPr>
      <xdr:spPr>
        <a:xfrm>
          <a:off x="9123840" y="17967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681480</xdr:colOff>
      <xdr:row>9</xdr:row>
      <xdr:rowOff>27000</xdr:rowOff>
    </xdr:from>
    <xdr:to>
      <xdr:col>5</xdr:col>
      <xdr:colOff>681480</xdr:colOff>
      <xdr:row>10</xdr:row>
      <xdr:rowOff>228600</xdr:rowOff>
    </xdr:to>
    <xdr:cxnSp macro="">
      <xdr:nvCxnSpPr>
        <xdr:cNvPr id="24" name="Straight Connector 7"/>
        <xdr:cNvCxnSpPr/>
      </xdr:nvCxnSpPr>
      <xdr:spPr>
        <a:xfrm>
          <a:off x="5202000" y="17985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25" name="Straight Connector 8"/>
        <xdr:cNvCxnSpPr/>
      </xdr:nvCxnSpPr>
      <xdr:spPr>
        <a:xfrm>
          <a:off x="2091600" y="17967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2</xdr:col>
      <xdr:colOff>0</xdr:colOff>
      <xdr:row>2</xdr:row>
      <xdr:rowOff>0</xdr:rowOff>
    </xdr:from>
    <xdr:to>
      <xdr:col>12</xdr:col>
      <xdr:colOff>403200</xdr:colOff>
      <xdr:row>5</xdr:row>
      <xdr:rowOff>44640</xdr:rowOff>
    </xdr:to>
    <xdr:pic>
      <xdr:nvPicPr>
        <xdr:cNvPr id="26" name="Picture 9"/>
        <xdr:cNvPicPr/>
      </xdr:nvPicPr>
      <xdr:blipFill>
        <a:blip xmlns:r="http://schemas.openxmlformats.org/officeDocument/2006/relationships" r:embed="rId2"/>
        <a:stretch/>
      </xdr:blipFill>
      <xdr:spPr>
        <a:xfrm>
          <a:off x="2255400" y="0"/>
          <a:ext cx="7983360" cy="749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95400</xdr:rowOff>
    </xdr:to>
    <xdr:pic>
      <xdr:nvPicPr>
        <xdr:cNvPr id="2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099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1440</xdr:colOff>
      <xdr:row>6</xdr:row>
      <xdr:rowOff>265680</xdr:rowOff>
    </xdr:from>
    <xdr:to>
      <xdr:col>7</xdr:col>
      <xdr:colOff>487800</xdr:colOff>
      <xdr:row>8</xdr:row>
      <xdr:rowOff>156600</xdr:rowOff>
    </xdr:to>
    <xdr:sp macro="" textlink="">
      <xdr:nvSpPr>
        <xdr:cNvPr id="28" name="Rounded Rectangle 2"/>
        <xdr:cNvSpPr/>
      </xdr:nvSpPr>
      <xdr:spPr>
        <a:xfrm>
          <a:off x="4773600" y="1246680"/>
          <a:ext cx="213732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2</xdr:col>
      <xdr:colOff>809280</xdr:colOff>
      <xdr:row>10</xdr:row>
      <xdr:rowOff>223920</xdr:rowOff>
    </xdr:to>
    <xdr:sp macro="" textlink="">
      <xdr:nvSpPr>
        <xdr:cNvPr id="29" name="TextBox 6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11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83880</xdr:colOff>
      <xdr:row>10</xdr:row>
      <xdr:rowOff>223920</xdr:rowOff>
    </xdr:to>
    <xdr:sp macro="" textlink="">
      <xdr:nvSpPr>
        <xdr:cNvPr id="30" name="TextBox 7"/>
        <xdr:cNvSpPr/>
      </xdr:nvSpPr>
      <xdr:spPr>
        <a:xfrm>
          <a:off x="3675600" y="1803960"/>
          <a:ext cx="283140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PZz_©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0</xdr:colOff>
      <xdr:row>9</xdr:row>
      <xdr:rowOff>25560</xdr:rowOff>
    </xdr:from>
    <xdr:to>
      <xdr:col>10</xdr:col>
      <xdr:colOff>559080</xdr:colOff>
      <xdr:row>10</xdr:row>
      <xdr:rowOff>226800</xdr:rowOff>
    </xdr:to>
    <xdr:sp macro="" textlink="">
      <xdr:nvSpPr>
        <xdr:cNvPr id="31" name="TextBox 8"/>
        <xdr:cNvSpPr/>
      </xdr:nvSpPr>
      <xdr:spPr>
        <a:xfrm>
          <a:off x="7248600" y="1806840"/>
          <a:ext cx="221004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182160</xdr:colOff>
      <xdr:row>9</xdr:row>
      <xdr:rowOff>25200</xdr:rowOff>
    </xdr:from>
    <xdr:to>
      <xdr:col>9</xdr:col>
      <xdr:colOff>182160</xdr:colOff>
      <xdr:row>10</xdr:row>
      <xdr:rowOff>226800</xdr:rowOff>
    </xdr:to>
    <xdr:cxnSp macro="">
      <xdr:nvCxnSpPr>
        <xdr:cNvPr id="32" name="Straight Connector 9"/>
        <xdr:cNvCxnSpPr/>
      </xdr:nvCxnSpPr>
      <xdr:spPr>
        <a:xfrm>
          <a:off x="825624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334080</xdr:colOff>
      <xdr:row>9</xdr:row>
      <xdr:rowOff>27000</xdr:rowOff>
    </xdr:from>
    <xdr:to>
      <xdr:col>5</xdr:col>
      <xdr:colOff>334080</xdr:colOff>
      <xdr:row>10</xdr:row>
      <xdr:rowOff>228600</xdr:rowOff>
    </xdr:to>
    <xdr:cxnSp macro="">
      <xdr:nvCxnSpPr>
        <xdr:cNvPr id="33" name="Straight Connector 10"/>
        <xdr:cNvCxnSpPr/>
      </xdr:nvCxnSpPr>
      <xdr:spPr>
        <a:xfrm>
          <a:off x="510624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34" name="Straight Connector 1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1306440</xdr:colOff>
      <xdr:row>2</xdr:row>
      <xdr:rowOff>27360</xdr:rowOff>
    </xdr:from>
    <xdr:to>
      <xdr:col>10</xdr:col>
      <xdr:colOff>653040</xdr:colOff>
      <xdr:row>5</xdr:row>
      <xdr:rowOff>67680</xdr:rowOff>
    </xdr:to>
    <xdr:pic>
      <xdr:nvPicPr>
        <xdr:cNvPr id="35" name="Picture 1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789560" y="27360"/>
          <a:ext cx="7763040" cy="75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138600</xdr:rowOff>
    </xdr:to>
    <xdr:pic>
      <xdr:nvPicPr>
        <xdr:cNvPr id="36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149040</xdr:colOff>
      <xdr:row>6</xdr:row>
      <xdr:rowOff>265680</xdr:rowOff>
    </xdr:from>
    <xdr:to>
      <xdr:col>7</xdr:col>
      <xdr:colOff>680400</xdr:colOff>
      <xdr:row>8</xdr:row>
      <xdr:rowOff>156600</xdr:rowOff>
    </xdr:to>
    <xdr:sp macro="" textlink="">
      <xdr:nvSpPr>
        <xdr:cNvPr id="37" name="Rounded Rectangle 2"/>
        <xdr:cNvSpPr/>
      </xdr:nvSpPr>
      <xdr:spPr>
        <a:xfrm>
          <a:off x="5051880" y="1246680"/>
          <a:ext cx="218232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13680</xdr:colOff>
      <xdr:row>10</xdr:row>
      <xdr:rowOff>223920</xdr:rowOff>
    </xdr:to>
    <xdr:sp macro="" textlink="">
      <xdr:nvSpPr>
        <xdr:cNvPr id="38" name="TextBox 6"/>
        <xdr:cNvSpPr/>
      </xdr:nvSpPr>
      <xdr:spPr>
        <a:xfrm>
          <a:off x="346320" y="1803960"/>
          <a:ext cx="288936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05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235080</xdr:colOff>
      <xdr:row>10</xdr:row>
      <xdr:rowOff>223920</xdr:rowOff>
    </xdr:to>
    <xdr:sp macro="" textlink="">
      <xdr:nvSpPr>
        <xdr:cNvPr id="39" name="TextBox 7"/>
        <xdr:cNvSpPr/>
      </xdr:nvSpPr>
      <xdr:spPr>
        <a:xfrm>
          <a:off x="3776400" y="1803960"/>
          <a:ext cx="30124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cÂg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728280</xdr:colOff>
      <xdr:row>9</xdr:row>
      <xdr:rowOff>25560</xdr:rowOff>
    </xdr:from>
    <xdr:to>
      <xdr:col>10</xdr:col>
      <xdr:colOff>559080</xdr:colOff>
      <xdr:row>10</xdr:row>
      <xdr:rowOff>226800</xdr:rowOff>
    </xdr:to>
    <xdr:sp macro="" textlink="">
      <xdr:nvSpPr>
        <xdr:cNvPr id="40" name="TextBox 8"/>
        <xdr:cNvSpPr/>
      </xdr:nvSpPr>
      <xdr:spPr>
        <a:xfrm>
          <a:off x="7282080" y="1806840"/>
          <a:ext cx="28108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462240</xdr:colOff>
      <xdr:row>9</xdr:row>
      <xdr:rowOff>25200</xdr:rowOff>
    </xdr:from>
    <xdr:to>
      <xdr:col>9</xdr:col>
      <xdr:colOff>462240</xdr:colOff>
      <xdr:row>10</xdr:row>
      <xdr:rowOff>226800</xdr:rowOff>
    </xdr:to>
    <xdr:cxnSp macro="">
      <xdr:nvCxnSpPr>
        <xdr:cNvPr id="41" name="Straight Connector 9"/>
        <xdr:cNvCxnSpPr/>
      </xdr:nvCxnSpPr>
      <xdr:spPr>
        <a:xfrm>
          <a:off x="894888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412560</xdr:colOff>
      <xdr:row>9</xdr:row>
      <xdr:rowOff>27000</xdr:rowOff>
    </xdr:from>
    <xdr:to>
      <xdr:col>5</xdr:col>
      <xdr:colOff>412560</xdr:colOff>
      <xdr:row>10</xdr:row>
      <xdr:rowOff>228600</xdr:rowOff>
    </xdr:to>
    <xdr:cxnSp macro="">
      <xdr:nvCxnSpPr>
        <xdr:cNvPr id="42" name="Straight Connector 10"/>
        <xdr:cNvCxnSpPr/>
      </xdr:nvCxnSpPr>
      <xdr:spPr>
        <a:xfrm>
          <a:off x="531540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43" name="Straight Connector 1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1423080</xdr:colOff>
      <xdr:row>2</xdr:row>
      <xdr:rowOff>0</xdr:rowOff>
    </xdr:from>
    <xdr:to>
      <xdr:col>10</xdr:col>
      <xdr:colOff>694440</xdr:colOff>
      <xdr:row>5</xdr:row>
      <xdr:rowOff>44640</xdr:rowOff>
    </xdr:to>
    <xdr:pic>
      <xdr:nvPicPr>
        <xdr:cNvPr id="44" name="Picture 1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906200" y="0"/>
          <a:ext cx="8322120" cy="75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358560</xdr:colOff>
      <xdr:row>2</xdr:row>
      <xdr:rowOff>0</xdr:rowOff>
    </xdr:from>
    <xdr:to>
      <xdr:col>1</xdr:col>
      <xdr:colOff>1443600</xdr:colOff>
      <xdr:row>8</xdr:row>
      <xdr:rowOff>138600</xdr:rowOff>
    </xdr:to>
    <xdr:pic>
      <xdr:nvPicPr>
        <xdr:cNvPr id="45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358560" y="0"/>
          <a:ext cx="156816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552240</xdr:colOff>
      <xdr:row>6</xdr:row>
      <xdr:rowOff>265680</xdr:rowOff>
    </xdr:from>
    <xdr:to>
      <xdr:col>8</xdr:col>
      <xdr:colOff>321480</xdr:colOff>
      <xdr:row>8</xdr:row>
      <xdr:rowOff>156600</xdr:rowOff>
    </xdr:to>
    <xdr:sp macro="" textlink="">
      <xdr:nvSpPr>
        <xdr:cNvPr id="46" name="Rounded Rectangle 2"/>
        <xdr:cNvSpPr/>
      </xdr:nvSpPr>
      <xdr:spPr>
        <a:xfrm>
          <a:off x="5112720" y="1246680"/>
          <a:ext cx="203436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54000</xdr:colOff>
      <xdr:row>10</xdr:row>
      <xdr:rowOff>223920</xdr:rowOff>
    </xdr:to>
    <xdr:sp macro="" textlink="">
      <xdr:nvSpPr>
        <xdr:cNvPr id="47" name="TextBox 6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16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347040</xdr:colOff>
      <xdr:row>10</xdr:row>
      <xdr:rowOff>223920</xdr:rowOff>
    </xdr:to>
    <xdr:sp macro="" textlink="">
      <xdr:nvSpPr>
        <xdr:cNvPr id="48" name="TextBox 7"/>
        <xdr:cNvSpPr/>
      </xdr:nvSpPr>
      <xdr:spPr>
        <a:xfrm>
          <a:off x="3605040" y="1803960"/>
          <a:ext cx="28126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 lô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235440</xdr:colOff>
      <xdr:row>9</xdr:row>
      <xdr:rowOff>25560</xdr:rowOff>
    </xdr:from>
    <xdr:to>
      <xdr:col>12</xdr:col>
      <xdr:colOff>111960</xdr:colOff>
      <xdr:row>10</xdr:row>
      <xdr:rowOff>226800</xdr:rowOff>
    </xdr:to>
    <xdr:sp macro="" textlink="">
      <xdr:nvSpPr>
        <xdr:cNvPr id="49" name="TextBox 8"/>
        <xdr:cNvSpPr/>
      </xdr:nvSpPr>
      <xdr:spPr>
        <a:xfrm>
          <a:off x="7061040" y="1806840"/>
          <a:ext cx="304776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496080</xdr:colOff>
      <xdr:row>9</xdr:row>
      <xdr:rowOff>25200</xdr:rowOff>
    </xdr:from>
    <xdr:to>
      <xdr:col>10</xdr:col>
      <xdr:colOff>496080</xdr:colOff>
      <xdr:row>10</xdr:row>
      <xdr:rowOff>226800</xdr:rowOff>
    </xdr:to>
    <xdr:cxnSp macro="">
      <xdr:nvCxnSpPr>
        <xdr:cNvPr id="50" name="Straight Connector 9"/>
        <xdr:cNvCxnSpPr/>
      </xdr:nvCxnSpPr>
      <xdr:spPr>
        <a:xfrm>
          <a:off x="883188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502200</xdr:colOff>
      <xdr:row>9</xdr:row>
      <xdr:rowOff>27000</xdr:rowOff>
    </xdr:from>
    <xdr:to>
      <xdr:col>5</xdr:col>
      <xdr:colOff>502200</xdr:colOff>
      <xdr:row>10</xdr:row>
      <xdr:rowOff>228600</xdr:rowOff>
    </xdr:to>
    <xdr:cxnSp macro="">
      <xdr:nvCxnSpPr>
        <xdr:cNvPr id="51" name="Straight Connector 10"/>
        <xdr:cNvCxnSpPr/>
      </xdr:nvCxnSpPr>
      <xdr:spPr>
        <a:xfrm>
          <a:off x="506268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52" name="Straight Connector 1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2</xdr:col>
      <xdr:colOff>0</xdr:colOff>
      <xdr:row>2</xdr:row>
      <xdr:rowOff>0</xdr:rowOff>
    </xdr:from>
    <xdr:to>
      <xdr:col>12</xdr:col>
      <xdr:colOff>279720</xdr:colOff>
      <xdr:row>5</xdr:row>
      <xdr:rowOff>44640</xdr:rowOff>
    </xdr:to>
    <xdr:pic>
      <xdr:nvPicPr>
        <xdr:cNvPr id="53" name="Picture 12"/>
        <xdr:cNvPicPr/>
      </xdr:nvPicPr>
      <xdr:blipFill>
        <a:blip xmlns:r="http://schemas.openxmlformats.org/officeDocument/2006/relationships" r:embed="rId2"/>
        <a:stretch/>
      </xdr:blipFill>
      <xdr:spPr>
        <a:xfrm>
          <a:off x="2295360" y="0"/>
          <a:ext cx="7981200" cy="75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280218</xdr:colOff>
      <xdr:row>0</xdr:row>
      <xdr:rowOff>0</xdr:rowOff>
    </xdr:from>
    <xdr:to>
      <xdr:col>1</xdr:col>
      <xdr:colOff>1365258</xdr:colOff>
      <xdr:row>8</xdr:row>
      <xdr:rowOff>37701</xdr:rowOff>
    </xdr:to>
    <xdr:pic>
      <xdr:nvPicPr>
        <xdr:cNvPr id="54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80218" y="0"/>
          <a:ext cx="1544481" cy="1662554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4</xdr:col>
      <xdr:colOff>728373</xdr:colOff>
      <xdr:row>7</xdr:row>
      <xdr:rowOff>17502</xdr:rowOff>
    </xdr:from>
    <xdr:to>
      <xdr:col>7</xdr:col>
      <xdr:colOff>290948</xdr:colOff>
      <xdr:row>8</xdr:row>
      <xdr:rowOff>175182</xdr:rowOff>
    </xdr:to>
    <xdr:sp macro="" textlink="">
      <xdr:nvSpPr>
        <xdr:cNvPr id="55" name="Rounded Rectangle 2"/>
        <xdr:cNvSpPr/>
      </xdr:nvSpPr>
      <xdr:spPr>
        <a:xfrm>
          <a:off x="4796108" y="1261355"/>
          <a:ext cx="2218369" cy="426621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290290</xdr:colOff>
      <xdr:row>9</xdr:row>
      <xdr:rowOff>56298</xdr:rowOff>
    </xdr:from>
    <xdr:to>
      <xdr:col>3</xdr:col>
      <xdr:colOff>68530</xdr:colOff>
      <xdr:row>10</xdr:row>
      <xdr:rowOff>257538</xdr:rowOff>
    </xdr:to>
    <xdr:sp macro="" textlink="">
      <xdr:nvSpPr>
        <xdr:cNvPr id="56" name="TextBox 3"/>
        <xdr:cNvSpPr/>
      </xdr:nvSpPr>
      <xdr:spPr>
        <a:xfrm>
          <a:off x="290290" y="1838033"/>
          <a:ext cx="2960711" cy="470181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18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185040</xdr:colOff>
      <xdr:row>9</xdr:row>
      <xdr:rowOff>79162</xdr:rowOff>
    </xdr:from>
    <xdr:to>
      <xdr:col>6</xdr:col>
      <xdr:colOff>313764</xdr:colOff>
      <xdr:row>10</xdr:row>
      <xdr:rowOff>261682</xdr:rowOff>
    </xdr:to>
    <xdr:sp macro="" textlink="">
      <xdr:nvSpPr>
        <xdr:cNvPr id="57" name="TextBox 4"/>
        <xdr:cNvSpPr/>
      </xdr:nvSpPr>
      <xdr:spPr>
        <a:xfrm>
          <a:off x="3367511" y="1860897"/>
          <a:ext cx="2784518" cy="451461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</a:t>
          </a:r>
          <a:r>
            <a:rPr lang="en-US" sz="2800" b="1" u="none" strike="noStrike" baseline="0">
              <a:solidFill>
                <a:srgbClr val="C00000"/>
              </a:solidFill>
              <a:effectLst/>
              <a:uFillTx/>
              <a:latin typeface="SutonnyMJ"/>
            </a:rPr>
            <a:t>     bvm©vix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6</xdr:col>
      <xdr:colOff>380880</xdr:colOff>
      <xdr:row>9</xdr:row>
      <xdr:rowOff>92520</xdr:rowOff>
    </xdr:from>
    <xdr:to>
      <xdr:col>9</xdr:col>
      <xdr:colOff>570960</xdr:colOff>
      <xdr:row>11</xdr:row>
      <xdr:rowOff>24840</xdr:rowOff>
    </xdr:to>
    <xdr:sp macro="" textlink="">
      <xdr:nvSpPr>
        <xdr:cNvPr id="58" name="TextBox 5"/>
        <xdr:cNvSpPr/>
      </xdr:nvSpPr>
      <xdr:spPr>
        <a:xfrm>
          <a:off x="5414400" y="1864080"/>
          <a:ext cx="2565720" cy="46584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</a:t>
          </a:r>
          <a:r>
            <a:rPr lang="en-US" sz="2400" b="1" u="none" strike="noStrike" baseline="0">
              <a:solidFill>
                <a:srgbClr val="0070C0"/>
              </a:solidFill>
              <a:effectLst/>
              <a:uFillTx/>
              <a:latin typeface="SutonnyMJ"/>
            </a:rPr>
            <a:t> </a:t>
          </a: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271495</xdr:colOff>
      <xdr:row>9</xdr:row>
      <xdr:rowOff>87395</xdr:rowOff>
    </xdr:from>
    <xdr:to>
      <xdr:col>8</xdr:col>
      <xdr:colOff>271495</xdr:colOff>
      <xdr:row>11</xdr:row>
      <xdr:rowOff>20053</xdr:rowOff>
    </xdr:to>
    <xdr:cxnSp macro="">
      <xdr:nvCxnSpPr>
        <xdr:cNvPr id="59" name="Straight Connector 6"/>
        <xdr:cNvCxnSpPr/>
      </xdr:nvCxnSpPr>
      <xdr:spPr>
        <a:xfrm>
          <a:off x="7880289" y="1869130"/>
          <a:ext cx="0" cy="470541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1586068</xdr:colOff>
      <xdr:row>9</xdr:row>
      <xdr:rowOff>58818</xdr:rowOff>
    </xdr:from>
    <xdr:to>
      <xdr:col>1</xdr:col>
      <xdr:colOff>1586068</xdr:colOff>
      <xdr:row>10</xdr:row>
      <xdr:rowOff>260418</xdr:rowOff>
    </xdr:to>
    <xdr:cxnSp macro="">
      <xdr:nvCxnSpPr>
        <xdr:cNvPr id="60" name="Straight Connector 8"/>
        <xdr:cNvCxnSpPr/>
      </xdr:nvCxnSpPr>
      <xdr:spPr>
        <a:xfrm>
          <a:off x="2045509" y="1840553"/>
          <a:ext cx="0" cy="470541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1479177</xdr:colOff>
      <xdr:row>2</xdr:row>
      <xdr:rowOff>78480</xdr:rowOff>
    </xdr:from>
    <xdr:to>
      <xdr:col>9</xdr:col>
      <xdr:colOff>728385</xdr:colOff>
      <xdr:row>5</xdr:row>
      <xdr:rowOff>134471</xdr:rowOff>
    </xdr:to>
    <xdr:pic>
      <xdr:nvPicPr>
        <xdr:cNvPr id="61" name="Picture 9"/>
        <xdr:cNvPicPr/>
      </xdr:nvPicPr>
      <xdr:blipFill>
        <a:blip xmlns:r="http://schemas.openxmlformats.org/officeDocument/2006/relationships" r:embed="rId2"/>
        <a:stretch/>
      </xdr:blipFill>
      <xdr:spPr>
        <a:xfrm>
          <a:off x="1938618" y="78480"/>
          <a:ext cx="7283826" cy="806785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4</xdr:col>
      <xdr:colOff>649941</xdr:colOff>
      <xdr:row>9</xdr:row>
      <xdr:rowOff>78442</xdr:rowOff>
    </xdr:from>
    <xdr:to>
      <xdr:col>4</xdr:col>
      <xdr:colOff>649941</xdr:colOff>
      <xdr:row>11</xdr:row>
      <xdr:rowOff>11100</xdr:rowOff>
    </xdr:to>
    <xdr:cxnSp macro="">
      <xdr:nvCxnSpPr>
        <xdr:cNvPr id="10" name="Straight Connector 6"/>
        <xdr:cNvCxnSpPr/>
      </xdr:nvCxnSpPr>
      <xdr:spPr>
        <a:xfrm>
          <a:off x="4717676" y="1860177"/>
          <a:ext cx="0" cy="470541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7</xdr:row>
      <xdr:rowOff>130680</xdr:rowOff>
    </xdr:to>
    <xdr:pic>
      <xdr:nvPicPr>
        <xdr:cNvPr id="6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354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508972</xdr:colOff>
      <xdr:row>6</xdr:row>
      <xdr:rowOff>263880</xdr:rowOff>
    </xdr:from>
    <xdr:to>
      <xdr:col>5</xdr:col>
      <xdr:colOff>398812</xdr:colOff>
      <xdr:row>8</xdr:row>
      <xdr:rowOff>145440</xdr:rowOff>
    </xdr:to>
    <xdr:sp macro="" textlink="">
      <xdr:nvSpPr>
        <xdr:cNvPr id="63" name="Rounded Rectangle 2"/>
        <xdr:cNvSpPr/>
      </xdr:nvSpPr>
      <xdr:spPr>
        <a:xfrm>
          <a:off x="4072443" y="1474115"/>
          <a:ext cx="1996545" cy="486678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56298</xdr:rowOff>
    </xdr:from>
    <xdr:to>
      <xdr:col>2</xdr:col>
      <xdr:colOff>582706</xdr:colOff>
      <xdr:row>10</xdr:row>
      <xdr:rowOff>257538</xdr:rowOff>
    </xdr:to>
    <xdr:sp macro="" textlink="">
      <xdr:nvSpPr>
        <xdr:cNvPr id="64" name="TextBox 3"/>
        <xdr:cNvSpPr/>
      </xdr:nvSpPr>
      <xdr:spPr>
        <a:xfrm>
          <a:off x="346320" y="1838033"/>
          <a:ext cx="2746504" cy="470181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24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6</xdr:col>
      <xdr:colOff>899474</xdr:colOff>
      <xdr:row>9</xdr:row>
      <xdr:rowOff>47612</xdr:rowOff>
    </xdr:from>
    <xdr:to>
      <xdr:col>6</xdr:col>
      <xdr:colOff>899474</xdr:colOff>
      <xdr:row>10</xdr:row>
      <xdr:rowOff>249212</xdr:rowOff>
    </xdr:to>
    <xdr:cxnSp macro="">
      <xdr:nvCxnSpPr>
        <xdr:cNvPr id="67" name="Straight Connector 7"/>
        <xdr:cNvCxnSpPr/>
      </xdr:nvCxnSpPr>
      <xdr:spPr>
        <a:xfrm>
          <a:off x="7623003" y="1829347"/>
          <a:ext cx="0" cy="470541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58818</xdr:rowOff>
    </xdr:from>
    <xdr:to>
      <xdr:col>1</xdr:col>
      <xdr:colOff>1608480</xdr:colOff>
      <xdr:row>10</xdr:row>
      <xdr:rowOff>260418</xdr:rowOff>
    </xdr:to>
    <xdr:cxnSp macro="">
      <xdr:nvCxnSpPr>
        <xdr:cNvPr id="68" name="Straight Connector 11"/>
        <xdr:cNvCxnSpPr/>
      </xdr:nvCxnSpPr>
      <xdr:spPr>
        <a:xfrm>
          <a:off x="2067921" y="1840553"/>
          <a:ext cx="0" cy="470541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1434354</xdr:colOff>
      <xdr:row>2</xdr:row>
      <xdr:rowOff>243199</xdr:rowOff>
    </xdr:from>
    <xdr:to>
      <xdr:col>7</xdr:col>
      <xdr:colOff>930093</xdr:colOff>
      <xdr:row>5</xdr:row>
      <xdr:rowOff>78442</xdr:rowOff>
    </xdr:to>
    <xdr:pic>
      <xdr:nvPicPr>
        <xdr:cNvPr id="69" name="Picture 8"/>
        <xdr:cNvPicPr/>
      </xdr:nvPicPr>
      <xdr:blipFill>
        <a:blip xmlns:r="http://schemas.openxmlformats.org/officeDocument/2006/relationships" r:embed="rId2"/>
        <a:stretch/>
      </xdr:blipFill>
      <xdr:spPr>
        <a:xfrm>
          <a:off x="1893795" y="243199"/>
          <a:ext cx="6813180" cy="742919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2</xdr:col>
      <xdr:colOff>840438</xdr:colOff>
      <xdr:row>9</xdr:row>
      <xdr:rowOff>56031</xdr:rowOff>
    </xdr:from>
    <xdr:to>
      <xdr:col>5</xdr:col>
      <xdr:colOff>257736</xdr:colOff>
      <xdr:row>10</xdr:row>
      <xdr:rowOff>257271</xdr:rowOff>
    </xdr:to>
    <xdr:sp macro="" textlink="">
      <xdr:nvSpPr>
        <xdr:cNvPr id="10" name="TextBox 7"/>
        <xdr:cNvSpPr/>
      </xdr:nvSpPr>
      <xdr:spPr>
        <a:xfrm>
          <a:off x="3350556" y="1837766"/>
          <a:ext cx="2577356" cy="470181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C00000"/>
              </a:solidFill>
              <a:effectLst/>
              <a:uFillTx/>
              <a:latin typeface="SutonnyMJ"/>
            </a:rPr>
            <a:t>gvinvjv  wndRyj KziAvb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5</xdr:col>
      <xdr:colOff>537881</xdr:colOff>
      <xdr:row>9</xdr:row>
      <xdr:rowOff>56031</xdr:rowOff>
    </xdr:from>
    <xdr:to>
      <xdr:col>7</xdr:col>
      <xdr:colOff>930088</xdr:colOff>
      <xdr:row>10</xdr:row>
      <xdr:rowOff>257271</xdr:rowOff>
    </xdr:to>
    <xdr:sp macro="" textlink="">
      <xdr:nvSpPr>
        <xdr:cNvPr id="11" name="TextBox 8"/>
        <xdr:cNvSpPr/>
      </xdr:nvSpPr>
      <xdr:spPr>
        <a:xfrm>
          <a:off x="6208057" y="1837766"/>
          <a:ext cx="2498913" cy="470181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739582</xdr:colOff>
      <xdr:row>9</xdr:row>
      <xdr:rowOff>56031</xdr:rowOff>
    </xdr:from>
    <xdr:to>
      <xdr:col>3</xdr:col>
      <xdr:colOff>739582</xdr:colOff>
      <xdr:row>10</xdr:row>
      <xdr:rowOff>257631</xdr:rowOff>
    </xdr:to>
    <xdr:cxnSp macro="">
      <xdr:nvCxnSpPr>
        <xdr:cNvPr id="12" name="Straight Connector 11"/>
        <xdr:cNvCxnSpPr/>
      </xdr:nvCxnSpPr>
      <xdr:spPr>
        <a:xfrm>
          <a:off x="4303053" y="1837766"/>
          <a:ext cx="0" cy="470541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</xdr:wsDr>
</file>

<file path=xl/tables/table1.xml><?xml version="1.0" encoding="utf-8"?>
<table xmlns="http://schemas.openxmlformats.org/spreadsheetml/2006/main" id="1" name="Table18" displayName="Table18" ref="M6:O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810" displayName="Table1810" ref="N6:P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Table18113" displayName="Table18113" ref="N6:P11" headerRowCount="0" totalsRowShown="0" headerRowDxfId="0">
  <tableColumns count="3">
    <tableColumn id="1" name="80-100" dataDxfId="3"/>
    <tableColumn id="2" name="A+" dataDxfId="2"/>
    <tableColumn id="3" name="5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Table1812" displayName="Table1812" ref="L6:N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6" name="Table1813" displayName="Table1813" ref="L6:N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7" name="Table1814" displayName="Table1814" ref="N6:P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3" name="Table18102" displayName="Table18102" ref="K6:M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1816" displayName="Table1816" ref="I6:K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5"/>
  <sheetViews>
    <sheetView topLeftCell="A3" zoomScale="85" zoomScaleNormal="85" workbookViewId="0">
      <selection activeCell="E16" sqref="E16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7" width="11.28515625" style="1" customWidth="1"/>
    <col min="8" max="8" width="12.5703125" style="1" customWidth="1"/>
    <col min="9" max="13" width="11.28515625" style="1" customWidth="1"/>
    <col min="14" max="14" width="12.28515625" style="1" customWidth="1"/>
    <col min="15" max="15" width="11.140625" style="1" customWidth="1"/>
    <col min="16" max="16" width="10" style="1" hidden="1" customWidth="1"/>
    <col min="17" max="17" width="13" style="1" hidden="1" customWidth="1"/>
  </cols>
  <sheetData>
    <row r="1" spans="1:20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19"/>
      <c r="N1" s="119"/>
      <c r="O1" s="119"/>
    </row>
    <row r="2" spans="1:20" ht="8.25" hidden="1" customHeight="1">
      <c r="A2" s="2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5"/>
    </row>
    <row r="3" spans="1:20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4"/>
      <c r="O3" s="4"/>
    </row>
    <row r="4" spans="1:20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20" t="s">
        <v>2</v>
      </c>
      <c r="N4" s="120"/>
      <c r="O4" s="120"/>
    </row>
    <row r="5" spans="1:20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6" t="s">
        <v>3</v>
      </c>
      <c r="N5" s="6" t="s">
        <v>4</v>
      </c>
      <c r="O5" s="6">
        <v>5</v>
      </c>
    </row>
    <row r="6" spans="1:20" ht="21" customHeight="1">
      <c r="A6" s="2"/>
      <c r="B6" s="7" t="s">
        <v>5</v>
      </c>
      <c r="C6" s="216" t="s">
        <v>203</v>
      </c>
      <c r="D6" s="121"/>
      <c r="E6" s="121"/>
      <c r="F6" s="121"/>
      <c r="G6" s="121"/>
      <c r="H6" s="121"/>
      <c r="I6" s="121"/>
      <c r="J6" s="121"/>
      <c r="K6" s="121"/>
      <c r="L6" s="121"/>
      <c r="M6" s="8" t="s">
        <v>6</v>
      </c>
      <c r="N6" s="9" t="s">
        <v>7</v>
      </c>
      <c r="O6" s="10">
        <v>4</v>
      </c>
    </row>
    <row r="7" spans="1:20" ht="21" customHeight="1">
      <c r="A7" s="2"/>
      <c r="B7" s="7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1" t="s">
        <v>8</v>
      </c>
      <c r="N7" s="6" t="s">
        <v>9</v>
      </c>
      <c r="O7" s="12">
        <v>3.5</v>
      </c>
    </row>
    <row r="8" spans="1:20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1" t="s">
        <v>10</v>
      </c>
      <c r="N8" s="6" t="s">
        <v>11</v>
      </c>
      <c r="O8" s="12">
        <v>3</v>
      </c>
    </row>
    <row r="9" spans="1:20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1" t="s">
        <v>12</v>
      </c>
      <c r="N9" s="6" t="s">
        <v>13</v>
      </c>
      <c r="O9" s="12">
        <v>2</v>
      </c>
    </row>
    <row r="10" spans="1:20" ht="21" customHeight="1">
      <c r="A10" s="122"/>
      <c r="B10" s="122"/>
      <c r="C10" s="13"/>
      <c r="D10" s="123"/>
      <c r="E10" s="123"/>
      <c r="F10" s="123"/>
      <c r="G10" s="124"/>
      <c r="H10" s="125"/>
      <c r="I10" s="125"/>
      <c r="J10" s="125"/>
      <c r="K10" s="125"/>
      <c r="L10" s="14"/>
      <c r="M10" s="11" t="s">
        <v>14</v>
      </c>
      <c r="N10" s="6" t="s">
        <v>15</v>
      </c>
      <c r="O10" s="12">
        <v>1</v>
      </c>
      <c r="R10" t="s">
        <v>16</v>
      </c>
    </row>
    <row r="11" spans="1:20" ht="21" customHeight="1">
      <c r="A11" s="122"/>
      <c r="B11" s="122"/>
      <c r="C11" s="13"/>
      <c r="D11" s="123"/>
      <c r="E11" s="123"/>
      <c r="F11" s="123"/>
      <c r="G11" s="124"/>
      <c r="H11" s="125"/>
      <c r="I11" s="125"/>
      <c r="J11" s="125"/>
      <c r="K11" s="125"/>
      <c r="L11" s="14"/>
      <c r="M11" s="15" t="s">
        <v>17</v>
      </c>
      <c r="N11" s="16" t="s">
        <v>18</v>
      </c>
      <c r="O11" s="17">
        <v>0</v>
      </c>
    </row>
    <row r="12" spans="1:20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20" s="19" customFormat="1" ht="60.75" customHeight="1">
      <c r="A13" s="139" t="s">
        <v>19</v>
      </c>
      <c r="B13" s="140" t="s">
        <v>20</v>
      </c>
      <c r="C13" s="141" t="s">
        <v>21</v>
      </c>
      <c r="D13" s="142" t="s">
        <v>22</v>
      </c>
      <c r="E13" s="141" t="s">
        <v>23</v>
      </c>
      <c r="F13" s="142" t="s">
        <v>24</v>
      </c>
      <c r="G13" s="141" t="s">
        <v>25</v>
      </c>
      <c r="H13" s="142" t="s">
        <v>26</v>
      </c>
      <c r="I13" s="141" t="s">
        <v>27</v>
      </c>
      <c r="J13" s="141" t="s">
        <v>28</v>
      </c>
      <c r="K13" s="142" t="s">
        <v>29</v>
      </c>
      <c r="L13" s="141" t="s">
        <v>30</v>
      </c>
      <c r="M13" s="142" t="s">
        <v>31</v>
      </c>
      <c r="N13" s="141" t="s">
        <v>32</v>
      </c>
      <c r="O13" s="143" t="s">
        <v>33</v>
      </c>
    </row>
    <row r="14" spans="1:20" ht="30" customHeight="1">
      <c r="A14" s="144">
        <v>1</v>
      </c>
      <c r="B14" s="138" t="s">
        <v>34</v>
      </c>
      <c r="C14" s="145">
        <v>100</v>
      </c>
      <c r="D14" s="146">
        <v>100</v>
      </c>
      <c r="E14" s="146">
        <v>100</v>
      </c>
      <c r="F14" s="146">
        <v>100</v>
      </c>
      <c r="G14" s="146">
        <v>88</v>
      </c>
      <c r="H14" s="146">
        <v>100</v>
      </c>
      <c r="I14" s="146">
        <v>100</v>
      </c>
      <c r="J14" s="146">
        <v>100</v>
      </c>
      <c r="K14" s="146">
        <f t="shared" ref="K14:K45" si="0">IF($B14="","",IF(COUNT(C14:J14)=0,"",SUM(C14:J14)))</f>
        <v>788</v>
      </c>
      <c r="L14" s="147">
        <f t="shared" ref="L14:L45" si="1">IF($B14="","",IF(COUNT(C14:J14)=0,"",ROUND(SUM(C14:J14)/COLUMNS(C14:J14),2)))</f>
        <v>98.5</v>
      </c>
      <c r="M14" s="21">
        <f t="shared" ref="M14:M45" si="2">IF($B14="","",IF(COUNT(C14:J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)/COLUMNS(C14:J14),2)))</f>
        <v>5</v>
      </c>
      <c r="N14" s="22" t="str">
        <f t="shared" ref="N14:N45" si="3">IF($B14="","",IF(M14="","",IF(M14=0,"F",IF(M14=5,"A+",IF(M14&gt;=4,"A",IF(M14&gt;=3.5,"A-",IF(M14&gt;=3,"B",IF(M14&gt;=2,"C",IF(M14&gt;=1,"D","F")))))))))</f>
        <v>A+</v>
      </c>
      <c r="O14" s="148" t="str">
        <f t="shared" ref="O14:O45" si="4">IF($B14="","",IF($P14="","",IF($P14=1,"1g",IF($P14=2,"2q",IF($P14=3,"3q",$P14)))))</f>
        <v>2q</v>
      </c>
      <c r="P14" s="24">
        <f t="shared" ref="P14:P45" si="5">IF($B14="","",IF(OR($N14="ফেল",$N14="অনুপস্থিত",$N14="অসম্পূর্ণ"),"",1+SUMPRODUCT(($Q$14:$Q$63&lt;&gt;"")*($Q$14:$Q$63&gt;Q14)/COUNTIF($Q$14:$Q$63,$Q$14:$Q$63))))</f>
        <v>2</v>
      </c>
      <c r="Q14" s="25">
        <f t="shared" ref="Q14:Q45" si="6">IF($B14="","",L14)</f>
        <v>98.5</v>
      </c>
    </row>
    <row r="15" spans="1:20" ht="30" customHeight="1">
      <c r="A15" s="144">
        <v>2</v>
      </c>
      <c r="B15" s="138" t="s">
        <v>35</v>
      </c>
      <c r="C15" s="145">
        <v>99</v>
      </c>
      <c r="D15" s="146">
        <v>100</v>
      </c>
      <c r="E15" s="146">
        <v>98</v>
      </c>
      <c r="F15" s="146">
        <v>100</v>
      </c>
      <c r="G15" s="146">
        <v>99</v>
      </c>
      <c r="H15" s="146">
        <v>100</v>
      </c>
      <c r="I15" s="146">
        <v>100</v>
      </c>
      <c r="J15" s="146">
        <v>100</v>
      </c>
      <c r="K15" s="146">
        <f t="shared" si="0"/>
        <v>796</v>
      </c>
      <c r="L15" s="147">
        <f t="shared" si="1"/>
        <v>99.5</v>
      </c>
      <c r="M15" s="21">
        <f t="shared" si="2"/>
        <v>5</v>
      </c>
      <c r="N15" s="22" t="str">
        <f t="shared" si="3"/>
        <v>A+</v>
      </c>
      <c r="O15" s="148" t="str">
        <f t="shared" si="4"/>
        <v>1g</v>
      </c>
      <c r="P15" s="24">
        <f t="shared" si="5"/>
        <v>1</v>
      </c>
      <c r="Q15" s="25">
        <f t="shared" si="6"/>
        <v>99.5</v>
      </c>
    </row>
    <row r="16" spans="1:20" ht="30" customHeight="1">
      <c r="A16" s="144">
        <v>3</v>
      </c>
      <c r="B16" s="138" t="s">
        <v>36</v>
      </c>
      <c r="C16" s="145">
        <v>98</v>
      </c>
      <c r="D16" s="146">
        <v>97</v>
      </c>
      <c r="E16" s="146">
        <v>88</v>
      </c>
      <c r="F16" s="146">
        <v>98</v>
      </c>
      <c r="G16" s="146">
        <v>98</v>
      </c>
      <c r="H16" s="149">
        <v>95</v>
      </c>
      <c r="I16" s="146">
        <v>90</v>
      </c>
      <c r="J16" s="146">
        <v>97</v>
      </c>
      <c r="K16" s="146">
        <f t="shared" si="0"/>
        <v>761</v>
      </c>
      <c r="L16" s="147">
        <f t="shared" si="1"/>
        <v>95.13</v>
      </c>
      <c r="M16" s="21">
        <f t="shared" si="2"/>
        <v>5</v>
      </c>
      <c r="N16" s="22" t="str">
        <f t="shared" si="3"/>
        <v>A+</v>
      </c>
      <c r="O16" s="148">
        <f t="shared" si="4"/>
        <v>4</v>
      </c>
      <c r="P16" s="24">
        <f t="shared" si="5"/>
        <v>4</v>
      </c>
      <c r="Q16" s="25">
        <f t="shared" si="6"/>
        <v>95.13</v>
      </c>
      <c r="T16" s="26"/>
    </row>
    <row r="17" spans="1:17" ht="30" customHeight="1">
      <c r="A17" s="144">
        <v>4</v>
      </c>
      <c r="B17" s="138" t="s">
        <v>37</v>
      </c>
      <c r="C17" s="145">
        <v>90</v>
      </c>
      <c r="D17" s="146">
        <v>97</v>
      </c>
      <c r="E17" s="146">
        <v>97</v>
      </c>
      <c r="F17" s="146">
        <v>99</v>
      </c>
      <c r="G17" s="146">
        <v>98</v>
      </c>
      <c r="H17" s="146">
        <v>95</v>
      </c>
      <c r="I17" s="146">
        <v>95</v>
      </c>
      <c r="J17" s="146">
        <v>100</v>
      </c>
      <c r="K17" s="146">
        <f t="shared" si="0"/>
        <v>771</v>
      </c>
      <c r="L17" s="147">
        <f t="shared" si="1"/>
        <v>96.38</v>
      </c>
      <c r="M17" s="21">
        <f t="shared" si="2"/>
        <v>5</v>
      </c>
      <c r="N17" s="22" t="str">
        <f t="shared" si="3"/>
        <v>A+</v>
      </c>
      <c r="O17" s="148" t="str">
        <f t="shared" si="4"/>
        <v>3q</v>
      </c>
      <c r="P17" s="24">
        <f t="shared" si="5"/>
        <v>3</v>
      </c>
      <c r="Q17" s="25">
        <f t="shared" si="6"/>
        <v>96.38</v>
      </c>
    </row>
    <row r="18" spans="1:17" ht="30" customHeight="1">
      <c r="A18" s="144">
        <v>5</v>
      </c>
      <c r="B18" s="138" t="s">
        <v>38</v>
      </c>
      <c r="C18" s="145">
        <v>95</v>
      </c>
      <c r="D18" s="146">
        <v>97</v>
      </c>
      <c r="E18" s="146">
        <v>93</v>
      </c>
      <c r="F18" s="146">
        <v>98</v>
      </c>
      <c r="G18" s="146">
        <v>98</v>
      </c>
      <c r="H18" s="146">
        <v>90</v>
      </c>
      <c r="I18" s="146">
        <v>85</v>
      </c>
      <c r="J18" s="146">
        <v>95</v>
      </c>
      <c r="K18" s="146">
        <f t="shared" si="0"/>
        <v>751</v>
      </c>
      <c r="L18" s="147">
        <f t="shared" si="1"/>
        <v>93.88</v>
      </c>
      <c r="M18" s="21">
        <f t="shared" si="2"/>
        <v>5</v>
      </c>
      <c r="N18" s="22" t="str">
        <f t="shared" si="3"/>
        <v>A+</v>
      </c>
      <c r="O18" s="148">
        <f t="shared" si="4"/>
        <v>5</v>
      </c>
      <c r="P18" s="24">
        <f t="shared" si="5"/>
        <v>5</v>
      </c>
      <c r="Q18" s="25">
        <f t="shared" si="6"/>
        <v>93.88</v>
      </c>
    </row>
    <row r="19" spans="1:17" ht="30" customHeight="1">
      <c r="A19" s="144">
        <v>6</v>
      </c>
      <c r="B19" s="138" t="s">
        <v>39</v>
      </c>
      <c r="C19" s="145">
        <v>95</v>
      </c>
      <c r="D19" s="146">
        <v>97</v>
      </c>
      <c r="E19" s="146">
        <v>94</v>
      </c>
      <c r="F19" s="146">
        <v>92</v>
      </c>
      <c r="G19" s="146">
        <v>59</v>
      </c>
      <c r="H19" s="146">
        <v>95</v>
      </c>
      <c r="I19" s="146">
        <v>98</v>
      </c>
      <c r="J19" s="146">
        <v>100</v>
      </c>
      <c r="K19" s="146">
        <f t="shared" si="0"/>
        <v>730</v>
      </c>
      <c r="L19" s="147">
        <f t="shared" si="1"/>
        <v>91.25</v>
      </c>
      <c r="M19" s="21">
        <f t="shared" si="2"/>
        <v>4.75</v>
      </c>
      <c r="N19" s="22" t="str">
        <f t="shared" si="3"/>
        <v>A</v>
      </c>
      <c r="O19" s="148">
        <f t="shared" si="4"/>
        <v>6</v>
      </c>
      <c r="P19" s="24">
        <f t="shared" si="5"/>
        <v>6</v>
      </c>
      <c r="Q19" s="25">
        <f t="shared" si="6"/>
        <v>91.25</v>
      </c>
    </row>
    <row r="20" spans="1:17" ht="30" customHeight="1">
      <c r="A20" s="144">
        <v>7</v>
      </c>
      <c r="B20" s="138" t="s">
        <v>40</v>
      </c>
      <c r="C20" s="145">
        <v>90</v>
      </c>
      <c r="D20" s="146">
        <v>97</v>
      </c>
      <c r="E20" s="146">
        <v>87</v>
      </c>
      <c r="F20" s="146">
        <v>69</v>
      </c>
      <c r="G20" s="146">
        <v>70</v>
      </c>
      <c r="H20" s="146">
        <v>90</v>
      </c>
      <c r="I20" s="146">
        <v>95</v>
      </c>
      <c r="J20" s="146">
        <v>95</v>
      </c>
      <c r="K20" s="146">
        <f t="shared" si="0"/>
        <v>693</v>
      </c>
      <c r="L20" s="147">
        <f t="shared" si="1"/>
        <v>86.63</v>
      </c>
      <c r="M20" s="21">
        <f t="shared" si="2"/>
        <v>4.6900000000000004</v>
      </c>
      <c r="N20" s="22" t="str">
        <f t="shared" si="3"/>
        <v>A</v>
      </c>
      <c r="O20" s="148">
        <f t="shared" si="4"/>
        <v>9</v>
      </c>
      <c r="P20" s="24">
        <f t="shared" si="5"/>
        <v>9</v>
      </c>
      <c r="Q20" s="25">
        <f t="shared" si="6"/>
        <v>86.63</v>
      </c>
    </row>
    <row r="21" spans="1:17" ht="30" customHeight="1">
      <c r="A21" s="144">
        <v>8</v>
      </c>
      <c r="B21" s="138" t="s">
        <v>41</v>
      </c>
      <c r="C21" s="145">
        <v>75</v>
      </c>
      <c r="D21" s="146">
        <v>97</v>
      </c>
      <c r="E21" s="146">
        <v>81</v>
      </c>
      <c r="F21" s="146">
        <v>79</v>
      </c>
      <c r="G21" s="146">
        <v>94</v>
      </c>
      <c r="H21" s="146">
        <v>80</v>
      </c>
      <c r="I21" s="146">
        <v>75</v>
      </c>
      <c r="J21" s="146">
        <v>90</v>
      </c>
      <c r="K21" s="146">
        <f t="shared" si="0"/>
        <v>671</v>
      </c>
      <c r="L21" s="147">
        <f t="shared" si="1"/>
        <v>83.88</v>
      </c>
      <c r="M21" s="21">
        <f t="shared" si="2"/>
        <v>4.63</v>
      </c>
      <c r="N21" s="22" t="str">
        <f t="shared" si="3"/>
        <v>A</v>
      </c>
      <c r="O21" s="148">
        <f t="shared" si="4"/>
        <v>11</v>
      </c>
      <c r="P21" s="24">
        <f t="shared" si="5"/>
        <v>11</v>
      </c>
      <c r="Q21" s="25">
        <f t="shared" si="6"/>
        <v>83.88</v>
      </c>
    </row>
    <row r="22" spans="1:17" ht="30" customHeight="1">
      <c r="A22" s="144">
        <v>9</v>
      </c>
      <c r="B22" s="138" t="s">
        <v>42</v>
      </c>
      <c r="C22" s="145">
        <v>95</v>
      </c>
      <c r="D22" s="146">
        <v>97</v>
      </c>
      <c r="E22" s="146">
        <v>87</v>
      </c>
      <c r="F22" s="146">
        <v>92</v>
      </c>
      <c r="G22" s="146">
        <v>98</v>
      </c>
      <c r="H22" s="146">
        <v>85</v>
      </c>
      <c r="I22" s="146">
        <v>80</v>
      </c>
      <c r="J22" s="146">
        <v>95</v>
      </c>
      <c r="K22" s="146">
        <f t="shared" si="0"/>
        <v>729</v>
      </c>
      <c r="L22" s="147">
        <f t="shared" si="1"/>
        <v>91.13</v>
      </c>
      <c r="M22" s="21">
        <f t="shared" si="2"/>
        <v>5</v>
      </c>
      <c r="N22" s="22" t="str">
        <f t="shared" si="3"/>
        <v>A+</v>
      </c>
      <c r="O22" s="148">
        <f t="shared" si="4"/>
        <v>7</v>
      </c>
      <c r="P22" s="24">
        <f t="shared" si="5"/>
        <v>7</v>
      </c>
      <c r="Q22" s="25">
        <f t="shared" si="6"/>
        <v>91.13</v>
      </c>
    </row>
    <row r="23" spans="1:17" ht="30" customHeight="1">
      <c r="A23" s="144">
        <v>10</v>
      </c>
      <c r="B23" s="138" t="s">
        <v>43</v>
      </c>
      <c r="C23" s="145">
        <v>90</v>
      </c>
      <c r="D23" s="146">
        <v>97</v>
      </c>
      <c r="E23" s="146">
        <v>96</v>
      </c>
      <c r="F23" s="146">
        <v>87</v>
      </c>
      <c r="G23" s="146">
        <v>86</v>
      </c>
      <c r="H23" s="146">
        <v>83</v>
      </c>
      <c r="I23" s="146">
        <v>75</v>
      </c>
      <c r="J23" s="146">
        <v>85</v>
      </c>
      <c r="K23" s="146">
        <f t="shared" si="0"/>
        <v>699</v>
      </c>
      <c r="L23" s="147">
        <f t="shared" si="1"/>
        <v>87.38</v>
      </c>
      <c r="M23" s="21">
        <f t="shared" si="2"/>
        <v>4.88</v>
      </c>
      <c r="N23" s="22" t="str">
        <f t="shared" si="3"/>
        <v>A</v>
      </c>
      <c r="O23" s="148">
        <f t="shared" si="4"/>
        <v>8</v>
      </c>
      <c r="P23" s="24">
        <f t="shared" si="5"/>
        <v>8</v>
      </c>
      <c r="Q23" s="25">
        <f t="shared" si="6"/>
        <v>87.38</v>
      </c>
    </row>
    <row r="24" spans="1:17" ht="30" customHeight="1">
      <c r="A24" s="144">
        <v>11</v>
      </c>
      <c r="B24" s="138" t="s">
        <v>44</v>
      </c>
      <c r="C24" s="145">
        <v>70</v>
      </c>
      <c r="D24" s="146">
        <v>97</v>
      </c>
      <c r="E24" s="146">
        <v>70</v>
      </c>
      <c r="F24" s="146">
        <v>48</v>
      </c>
      <c r="G24" s="146">
        <v>76</v>
      </c>
      <c r="H24" s="146">
        <v>75</v>
      </c>
      <c r="I24" s="146">
        <v>77</v>
      </c>
      <c r="J24" s="146">
        <v>80</v>
      </c>
      <c r="K24" s="146">
        <f t="shared" si="0"/>
        <v>593</v>
      </c>
      <c r="L24" s="147">
        <f t="shared" si="1"/>
        <v>74.13</v>
      </c>
      <c r="M24" s="21">
        <f t="shared" si="2"/>
        <v>4</v>
      </c>
      <c r="N24" s="22" t="str">
        <f t="shared" si="3"/>
        <v>A</v>
      </c>
      <c r="O24" s="148">
        <f t="shared" si="4"/>
        <v>13</v>
      </c>
      <c r="P24" s="24">
        <f t="shared" si="5"/>
        <v>13</v>
      </c>
      <c r="Q24" s="25">
        <f t="shared" si="6"/>
        <v>74.13</v>
      </c>
    </row>
    <row r="25" spans="1:17" ht="30" customHeight="1">
      <c r="A25" s="144">
        <v>12</v>
      </c>
      <c r="B25" s="138" t="s">
        <v>45</v>
      </c>
      <c r="C25" s="145">
        <v>80</v>
      </c>
      <c r="D25" s="146">
        <v>97</v>
      </c>
      <c r="E25" s="146">
        <v>81</v>
      </c>
      <c r="F25" s="146">
        <v>94</v>
      </c>
      <c r="G25" s="146">
        <v>75</v>
      </c>
      <c r="H25" s="146">
        <v>70</v>
      </c>
      <c r="I25" s="146">
        <v>78</v>
      </c>
      <c r="J25" s="146">
        <v>75</v>
      </c>
      <c r="K25" s="146">
        <f t="shared" si="0"/>
        <v>650</v>
      </c>
      <c r="L25" s="147">
        <f t="shared" si="1"/>
        <v>81.25</v>
      </c>
      <c r="M25" s="21">
        <f t="shared" si="2"/>
        <v>4.5</v>
      </c>
      <c r="N25" s="22" t="str">
        <f t="shared" si="3"/>
        <v>A</v>
      </c>
      <c r="O25" s="148">
        <f t="shared" si="4"/>
        <v>12</v>
      </c>
      <c r="P25" s="24">
        <f t="shared" si="5"/>
        <v>12</v>
      </c>
      <c r="Q25" s="25">
        <f t="shared" si="6"/>
        <v>81.25</v>
      </c>
    </row>
    <row r="26" spans="1:17" ht="30" customHeight="1">
      <c r="A26" s="144">
        <v>13</v>
      </c>
      <c r="B26" s="138" t="s">
        <v>46</v>
      </c>
      <c r="C26" s="145">
        <v>70</v>
      </c>
      <c r="D26" s="146">
        <v>97</v>
      </c>
      <c r="E26" s="146">
        <v>70</v>
      </c>
      <c r="F26" s="146">
        <v>78</v>
      </c>
      <c r="G26" s="146">
        <v>67</v>
      </c>
      <c r="H26" s="146">
        <v>60</v>
      </c>
      <c r="I26" s="146">
        <v>70</v>
      </c>
      <c r="J26" s="146">
        <v>60</v>
      </c>
      <c r="K26" s="146">
        <f t="shared" si="0"/>
        <v>572</v>
      </c>
      <c r="L26" s="147">
        <f t="shared" si="1"/>
        <v>71.5</v>
      </c>
      <c r="M26" s="21">
        <f t="shared" si="2"/>
        <v>3.94</v>
      </c>
      <c r="N26" s="22" t="str">
        <f t="shared" si="3"/>
        <v>A-</v>
      </c>
      <c r="O26" s="148">
        <f t="shared" si="4"/>
        <v>15</v>
      </c>
      <c r="P26" s="24">
        <f t="shared" si="5"/>
        <v>15</v>
      </c>
      <c r="Q26" s="25">
        <f t="shared" si="6"/>
        <v>71.5</v>
      </c>
    </row>
    <row r="27" spans="1:17" ht="30" customHeight="1">
      <c r="A27" s="144">
        <v>14</v>
      </c>
      <c r="B27" s="138" t="s">
        <v>47</v>
      </c>
      <c r="C27" s="145">
        <v>65</v>
      </c>
      <c r="D27" s="146">
        <v>97</v>
      </c>
      <c r="E27" s="146">
        <v>65</v>
      </c>
      <c r="F27" s="146">
        <v>82</v>
      </c>
      <c r="G27" s="146">
        <v>40</v>
      </c>
      <c r="H27" s="146">
        <v>60</v>
      </c>
      <c r="I27" s="146">
        <v>60</v>
      </c>
      <c r="J27" s="146">
        <v>65</v>
      </c>
      <c r="K27" s="146">
        <f t="shared" si="0"/>
        <v>534</v>
      </c>
      <c r="L27" s="147">
        <f t="shared" si="1"/>
        <v>66.75</v>
      </c>
      <c r="M27" s="21">
        <f t="shared" si="2"/>
        <v>3.69</v>
      </c>
      <c r="N27" s="22" t="str">
        <f t="shared" si="3"/>
        <v>A-</v>
      </c>
      <c r="O27" s="148">
        <f t="shared" si="4"/>
        <v>18</v>
      </c>
      <c r="P27" s="24">
        <f t="shared" si="5"/>
        <v>18</v>
      </c>
      <c r="Q27" s="25">
        <f t="shared" si="6"/>
        <v>66.75</v>
      </c>
    </row>
    <row r="28" spans="1:17" ht="30" customHeight="1">
      <c r="A28" s="144">
        <v>15</v>
      </c>
      <c r="B28" s="138" t="s">
        <v>48</v>
      </c>
      <c r="C28" s="145">
        <v>65</v>
      </c>
      <c r="D28" s="146">
        <v>97</v>
      </c>
      <c r="E28" s="146">
        <v>65</v>
      </c>
      <c r="F28" s="146">
        <v>75</v>
      </c>
      <c r="G28" s="146">
        <v>90</v>
      </c>
      <c r="H28" s="146">
        <v>60</v>
      </c>
      <c r="I28" s="146">
        <v>60</v>
      </c>
      <c r="J28" s="146">
        <v>50</v>
      </c>
      <c r="K28" s="146">
        <f t="shared" si="0"/>
        <v>562</v>
      </c>
      <c r="L28" s="147">
        <f t="shared" si="1"/>
        <v>70.25</v>
      </c>
      <c r="M28" s="21">
        <f t="shared" si="2"/>
        <v>3.88</v>
      </c>
      <c r="N28" s="22" t="str">
        <f t="shared" si="3"/>
        <v>A-</v>
      </c>
      <c r="O28" s="148">
        <f t="shared" si="4"/>
        <v>17</v>
      </c>
      <c r="P28" s="24">
        <f t="shared" si="5"/>
        <v>17</v>
      </c>
      <c r="Q28" s="25">
        <f t="shared" si="6"/>
        <v>70.25</v>
      </c>
    </row>
    <row r="29" spans="1:17" ht="30" customHeight="1">
      <c r="A29" s="144">
        <v>16</v>
      </c>
      <c r="B29" s="138" t="s">
        <v>49</v>
      </c>
      <c r="C29" s="145">
        <v>70</v>
      </c>
      <c r="D29" s="146">
        <v>97</v>
      </c>
      <c r="E29" s="146">
        <v>75</v>
      </c>
      <c r="F29" s="146">
        <v>62</v>
      </c>
      <c r="G29" s="146">
        <v>74</v>
      </c>
      <c r="H29" s="146">
        <v>60</v>
      </c>
      <c r="I29" s="146">
        <v>65</v>
      </c>
      <c r="J29" s="146">
        <v>65</v>
      </c>
      <c r="K29" s="146">
        <f t="shared" si="0"/>
        <v>568</v>
      </c>
      <c r="L29" s="147">
        <f t="shared" si="1"/>
        <v>71</v>
      </c>
      <c r="M29" s="21">
        <f t="shared" si="2"/>
        <v>3.88</v>
      </c>
      <c r="N29" s="22" t="str">
        <f t="shared" si="3"/>
        <v>A-</v>
      </c>
      <c r="O29" s="148">
        <f t="shared" si="4"/>
        <v>16</v>
      </c>
      <c r="P29" s="24">
        <f t="shared" si="5"/>
        <v>16</v>
      </c>
      <c r="Q29" s="25">
        <f t="shared" si="6"/>
        <v>71</v>
      </c>
    </row>
    <row r="30" spans="1:17" ht="30" customHeight="1">
      <c r="A30" s="144">
        <v>17</v>
      </c>
      <c r="B30" s="138" t="s">
        <v>50</v>
      </c>
      <c r="C30" s="145">
        <v>70</v>
      </c>
      <c r="D30" s="146">
        <v>97</v>
      </c>
      <c r="E30" s="146">
        <v>62</v>
      </c>
      <c r="F30" s="146">
        <v>66</v>
      </c>
      <c r="G30" s="146">
        <v>44</v>
      </c>
      <c r="H30" s="146">
        <v>55</v>
      </c>
      <c r="I30" s="146">
        <v>60</v>
      </c>
      <c r="J30" s="146">
        <v>50</v>
      </c>
      <c r="K30" s="146">
        <f t="shared" si="0"/>
        <v>504</v>
      </c>
      <c r="L30" s="147">
        <f t="shared" si="1"/>
        <v>63</v>
      </c>
      <c r="M30" s="21">
        <f t="shared" si="2"/>
        <v>3.44</v>
      </c>
      <c r="N30" s="22" t="str">
        <f t="shared" si="3"/>
        <v>B</v>
      </c>
      <c r="O30" s="148">
        <f t="shared" si="4"/>
        <v>20</v>
      </c>
      <c r="P30" s="24">
        <f t="shared" si="5"/>
        <v>20</v>
      </c>
      <c r="Q30" s="25">
        <f t="shared" si="6"/>
        <v>63</v>
      </c>
    </row>
    <row r="31" spans="1:17" ht="30" customHeight="1">
      <c r="A31" s="144">
        <v>18</v>
      </c>
      <c r="B31" s="138" t="s">
        <v>51</v>
      </c>
      <c r="C31" s="145">
        <v>60</v>
      </c>
      <c r="D31" s="146">
        <v>97</v>
      </c>
      <c r="E31" s="150">
        <v>0</v>
      </c>
      <c r="F31" s="146">
        <v>58</v>
      </c>
      <c r="G31" s="146">
        <v>33</v>
      </c>
      <c r="H31" s="146">
        <v>50</v>
      </c>
      <c r="I31" s="146">
        <v>55</v>
      </c>
      <c r="J31" s="146">
        <v>45</v>
      </c>
      <c r="K31" s="146">
        <f t="shared" si="0"/>
        <v>398</v>
      </c>
      <c r="L31" s="147">
        <f t="shared" si="1"/>
        <v>49.75</v>
      </c>
      <c r="M31" s="21">
        <f t="shared" si="2"/>
        <v>2.56</v>
      </c>
      <c r="N31" s="22" t="str">
        <f t="shared" si="3"/>
        <v>C</v>
      </c>
      <c r="O31" s="148">
        <f t="shared" si="4"/>
        <v>22</v>
      </c>
      <c r="P31" s="24">
        <f t="shared" si="5"/>
        <v>22</v>
      </c>
      <c r="Q31" s="25">
        <f t="shared" si="6"/>
        <v>49.75</v>
      </c>
    </row>
    <row r="32" spans="1:17" ht="30" customHeight="1">
      <c r="A32" s="144">
        <v>19</v>
      </c>
      <c r="B32" s="138" t="s">
        <v>52</v>
      </c>
      <c r="C32" s="145">
        <v>70</v>
      </c>
      <c r="D32" s="146">
        <v>97</v>
      </c>
      <c r="E32" s="146">
        <v>84</v>
      </c>
      <c r="F32" s="146">
        <v>79</v>
      </c>
      <c r="G32" s="146">
        <v>33</v>
      </c>
      <c r="H32" s="146">
        <v>60</v>
      </c>
      <c r="I32" s="146">
        <v>70</v>
      </c>
      <c r="J32" s="146">
        <v>80</v>
      </c>
      <c r="K32" s="146">
        <f t="shared" si="0"/>
        <v>573</v>
      </c>
      <c r="L32" s="147">
        <f t="shared" si="1"/>
        <v>71.63</v>
      </c>
      <c r="M32" s="21">
        <f t="shared" si="2"/>
        <v>3.94</v>
      </c>
      <c r="N32" s="22" t="str">
        <f t="shared" si="3"/>
        <v>A-</v>
      </c>
      <c r="O32" s="148">
        <f t="shared" si="4"/>
        <v>14</v>
      </c>
      <c r="P32" s="24">
        <f t="shared" si="5"/>
        <v>14</v>
      </c>
      <c r="Q32" s="25">
        <f t="shared" si="6"/>
        <v>71.63</v>
      </c>
    </row>
    <row r="33" spans="1:17" ht="30" customHeight="1">
      <c r="A33" s="144">
        <v>20</v>
      </c>
      <c r="B33" s="138" t="s">
        <v>53</v>
      </c>
      <c r="C33" s="145">
        <v>60</v>
      </c>
      <c r="D33" s="146">
        <v>97</v>
      </c>
      <c r="E33" s="146">
        <v>40</v>
      </c>
      <c r="F33" s="146">
        <v>40</v>
      </c>
      <c r="G33" s="146">
        <v>39</v>
      </c>
      <c r="H33" s="146">
        <v>55</v>
      </c>
      <c r="I33" s="146">
        <v>65</v>
      </c>
      <c r="J33" s="146">
        <v>65</v>
      </c>
      <c r="K33" s="146">
        <f t="shared" si="0"/>
        <v>461</v>
      </c>
      <c r="L33" s="147">
        <f t="shared" si="1"/>
        <v>57.63</v>
      </c>
      <c r="M33" s="21">
        <f t="shared" si="2"/>
        <v>2.94</v>
      </c>
      <c r="N33" s="22" t="str">
        <f t="shared" si="3"/>
        <v>C</v>
      </c>
      <c r="O33" s="148">
        <f t="shared" si="4"/>
        <v>21</v>
      </c>
      <c r="P33" s="24">
        <f t="shared" si="5"/>
        <v>21</v>
      </c>
      <c r="Q33" s="25">
        <f t="shared" si="6"/>
        <v>57.63</v>
      </c>
    </row>
    <row r="34" spans="1:17" ht="30" customHeight="1">
      <c r="A34" s="144">
        <v>21</v>
      </c>
      <c r="B34" s="138" t="s">
        <v>54</v>
      </c>
      <c r="C34" s="145">
        <v>50</v>
      </c>
      <c r="D34" s="146">
        <v>97</v>
      </c>
      <c r="E34" s="146">
        <v>38</v>
      </c>
      <c r="F34" s="146">
        <v>40</v>
      </c>
      <c r="G34" s="146">
        <v>33</v>
      </c>
      <c r="H34" s="146">
        <v>50</v>
      </c>
      <c r="I34" s="146">
        <v>50</v>
      </c>
      <c r="J34" s="146">
        <v>40</v>
      </c>
      <c r="K34" s="146">
        <f t="shared" si="0"/>
        <v>398</v>
      </c>
      <c r="L34" s="147">
        <f t="shared" si="1"/>
        <v>49.75</v>
      </c>
      <c r="M34" s="21">
        <f t="shared" si="2"/>
        <v>2.5</v>
      </c>
      <c r="N34" s="22" t="str">
        <f t="shared" si="3"/>
        <v>C</v>
      </c>
      <c r="O34" s="148">
        <f t="shared" si="4"/>
        <v>22</v>
      </c>
      <c r="P34" s="24">
        <f t="shared" si="5"/>
        <v>22</v>
      </c>
      <c r="Q34" s="25">
        <f t="shared" si="6"/>
        <v>49.75</v>
      </c>
    </row>
    <row r="35" spans="1:17" ht="30" customHeight="1">
      <c r="A35" s="144">
        <v>22</v>
      </c>
      <c r="B35" s="138" t="s">
        <v>55</v>
      </c>
      <c r="C35" s="145">
        <v>70</v>
      </c>
      <c r="D35" s="146">
        <v>97</v>
      </c>
      <c r="E35" s="146">
        <v>85</v>
      </c>
      <c r="F35" s="146">
        <v>90</v>
      </c>
      <c r="G35" s="146">
        <v>77</v>
      </c>
      <c r="H35" s="146">
        <v>90</v>
      </c>
      <c r="I35" s="146">
        <v>88</v>
      </c>
      <c r="J35" s="146">
        <v>90</v>
      </c>
      <c r="K35" s="146">
        <f t="shared" si="0"/>
        <v>687</v>
      </c>
      <c r="L35" s="147">
        <f t="shared" si="1"/>
        <v>85.88</v>
      </c>
      <c r="M35" s="21">
        <f t="shared" si="2"/>
        <v>4.75</v>
      </c>
      <c r="N35" s="22" t="str">
        <f t="shared" si="3"/>
        <v>A</v>
      </c>
      <c r="O35" s="148">
        <f t="shared" si="4"/>
        <v>10</v>
      </c>
      <c r="P35" s="24">
        <f t="shared" si="5"/>
        <v>10</v>
      </c>
      <c r="Q35" s="25">
        <f t="shared" si="6"/>
        <v>85.88</v>
      </c>
    </row>
    <row r="36" spans="1:17" ht="30" customHeight="1">
      <c r="A36" s="144">
        <v>23</v>
      </c>
      <c r="B36" s="138" t="s">
        <v>56</v>
      </c>
      <c r="C36" s="145">
        <v>95</v>
      </c>
      <c r="D36" s="146">
        <v>97</v>
      </c>
      <c r="E36" s="146">
        <v>98</v>
      </c>
      <c r="F36" s="146">
        <v>100</v>
      </c>
      <c r="G36" s="146">
        <v>98</v>
      </c>
      <c r="H36" s="146">
        <v>100</v>
      </c>
      <c r="I36" s="146">
        <v>100</v>
      </c>
      <c r="J36" s="146">
        <v>100</v>
      </c>
      <c r="K36" s="146">
        <f t="shared" si="0"/>
        <v>788</v>
      </c>
      <c r="L36" s="147">
        <f t="shared" si="1"/>
        <v>98.5</v>
      </c>
      <c r="M36" s="21">
        <f t="shared" si="2"/>
        <v>5</v>
      </c>
      <c r="N36" s="22" t="str">
        <f t="shared" si="3"/>
        <v>A+</v>
      </c>
      <c r="O36" s="148" t="str">
        <f t="shared" si="4"/>
        <v>2q</v>
      </c>
      <c r="P36" s="24">
        <f t="shared" si="5"/>
        <v>2</v>
      </c>
      <c r="Q36" s="25">
        <f t="shared" si="6"/>
        <v>98.5</v>
      </c>
    </row>
    <row r="37" spans="1:17" ht="30" customHeight="1" thickBot="1">
      <c r="A37" s="151">
        <v>24</v>
      </c>
      <c r="B37" s="138" t="s">
        <v>57</v>
      </c>
      <c r="C37" s="152">
        <v>70</v>
      </c>
      <c r="D37" s="146">
        <v>97</v>
      </c>
      <c r="E37" s="153">
        <v>60</v>
      </c>
      <c r="F37" s="153">
        <v>65</v>
      </c>
      <c r="G37" s="153">
        <v>64</v>
      </c>
      <c r="H37" s="153">
        <v>50</v>
      </c>
      <c r="I37" s="153">
        <v>55</v>
      </c>
      <c r="J37" s="153">
        <v>50</v>
      </c>
      <c r="K37" s="153">
        <f t="shared" si="0"/>
        <v>511</v>
      </c>
      <c r="L37" s="147">
        <f t="shared" si="1"/>
        <v>63.88</v>
      </c>
      <c r="M37" s="21">
        <f t="shared" si="2"/>
        <v>3.56</v>
      </c>
      <c r="N37" s="22" t="str">
        <f t="shared" si="3"/>
        <v>A-</v>
      </c>
      <c r="O37" s="148">
        <f t="shared" si="4"/>
        <v>19</v>
      </c>
      <c r="P37" s="24">
        <f t="shared" si="5"/>
        <v>19</v>
      </c>
      <c r="Q37" s="25">
        <f t="shared" si="6"/>
        <v>63.88</v>
      </c>
    </row>
    <row r="38" spans="1:17" s="26" customFormat="1" ht="21.75" customHeight="1">
      <c r="A38" s="29"/>
      <c r="B38" s="30"/>
      <c r="C38" s="31"/>
      <c r="D38" s="31"/>
      <c r="E38" s="31"/>
      <c r="F38" s="31"/>
      <c r="G38" s="31"/>
      <c r="H38" s="31"/>
      <c r="I38" s="31"/>
      <c r="J38" s="31"/>
      <c r="K38" s="31" t="str">
        <f t="shared" si="0"/>
        <v/>
      </c>
      <c r="L38" s="32" t="str">
        <f t="shared" si="1"/>
        <v/>
      </c>
      <c r="M38" s="32" t="str">
        <f t="shared" si="2"/>
        <v/>
      </c>
      <c r="N38" s="29" t="str">
        <f t="shared" si="3"/>
        <v/>
      </c>
      <c r="O38" s="33" t="str">
        <f t="shared" si="4"/>
        <v/>
      </c>
      <c r="P38" s="34" t="str">
        <f t="shared" si="5"/>
        <v/>
      </c>
      <c r="Q38" s="35" t="str">
        <f t="shared" si="6"/>
        <v/>
      </c>
    </row>
    <row r="39" spans="1:17" s="26" customFormat="1" ht="21.75" customHeight="1">
      <c r="A39" s="33"/>
      <c r="B39" s="36"/>
      <c r="C39" s="37"/>
      <c r="D39" s="37"/>
      <c r="E39" s="37"/>
      <c r="F39" s="37"/>
      <c r="G39" s="37"/>
      <c r="H39" s="37"/>
      <c r="I39" s="37"/>
      <c r="J39" s="37"/>
      <c r="K39" s="37" t="str">
        <f t="shared" si="0"/>
        <v/>
      </c>
      <c r="L39" s="38" t="str">
        <f t="shared" si="1"/>
        <v/>
      </c>
      <c r="M39" s="38" t="str">
        <f t="shared" si="2"/>
        <v/>
      </c>
      <c r="N39" s="33" t="str">
        <f t="shared" si="3"/>
        <v/>
      </c>
      <c r="O39" s="33" t="str">
        <f t="shared" si="4"/>
        <v/>
      </c>
      <c r="P39" s="34" t="str">
        <f t="shared" si="5"/>
        <v/>
      </c>
      <c r="Q39" s="35" t="str">
        <f t="shared" si="6"/>
        <v/>
      </c>
    </row>
    <row r="40" spans="1:17" s="26" customFormat="1" ht="21.75" customHeight="1">
      <c r="A40" s="33"/>
      <c r="B40" s="36"/>
      <c r="C40" s="37"/>
      <c r="D40" s="37"/>
      <c r="E40" s="37"/>
      <c r="F40" s="37"/>
      <c r="G40" s="37"/>
      <c r="H40" s="37"/>
      <c r="I40" s="37"/>
      <c r="J40" s="37"/>
      <c r="K40" s="37" t="str">
        <f t="shared" si="0"/>
        <v/>
      </c>
      <c r="L40" s="38" t="str">
        <f t="shared" si="1"/>
        <v/>
      </c>
      <c r="M40" s="38" t="str">
        <f t="shared" si="2"/>
        <v/>
      </c>
      <c r="N40" s="33" t="str">
        <f t="shared" si="3"/>
        <v/>
      </c>
      <c r="O40" s="33" t="str">
        <f t="shared" si="4"/>
        <v/>
      </c>
      <c r="P40" s="34" t="str">
        <f t="shared" si="5"/>
        <v/>
      </c>
      <c r="Q40" s="35" t="str">
        <f t="shared" si="6"/>
        <v/>
      </c>
    </row>
    <row r="41" spans="1:17" s="26" customFormat="1" ht="21.75" customHeight="1">
      <c r="A41" s="33"/>
      <c r="B41" s="36"/>
      <c r="C41" s="37"/>
      <c r="D41" s="37"/>
      <c r="E41" s="37"/>
      <c r="F41" s="37"/>
      <c r="G41" s="37"/>
      <c r="H41" s="37"/>
      <c r="I41" s="37"/>
      <c r="J41" s="37"/>
      <c r="K41" s="37" t="str">
        <f t="shared" si="0"/>
        <v/>
      </c>
      <c r="L41" s="38" t="str">
        <f t="shared" si="1"/>
        <v/>
      </c>
      <c r="M41" s="38" t="str">
        <f t="shared" si="2"/>
        <v/>
      </c>
      <c r="N41" s="33" t="str">
        <f t="shared" si="3"/>
        <v/>
      </c>
      <c r="O41" s="33" t="str">
        <f t="shared" si="4"/>
        <v/>
      </c>
      <c r="P41" s="34" t="str">
        <f t="shared" si="5"/>
        <v/>
      </c>
      <c r="Q41" s="35" t="str">
        <f t="shared" si="6"/>
        <v/>
      </c>
    </row>
    <row r="42" spans="1:17" s="26" customFormat="1" ht="21.75" customHeight="1">
      <c r="A42" s="33"/>
      <c r="B42" s="36"/>
      <c r="C42" s="37"/>
      <c r="D42" s="37"/>
      <c r="E42" s="37"/>
      <c r="F42" s="37"/>
      <c r="G42" s="37"/>
      <c r="H42" s="37"/>
      <c r="I42" s="37"/>
      <c r="J42" s="37"/>
      <c r="K42" s="37" t="str">
        <f t="shared" si="0"/>
        <v/>
      </c>
      <c r="L42" s="38" t="str">
        <f t="shared" si="1"/>
        <v/>
      </c>
      <c r="M42" s="38" t="str">
        <f t="shared" si="2"/>
        <v/>
      </c>
      <c r="N42" s="33" t="str">
        <f t="shared" si="3"/>
        <v/>
      </c>
      <c r="O42" s="33" t="str">
        <f t="shared" si="4"/>
        <v/>
      </c>
      <c r="P42" s="34" t="str">
        <f t="shared" si="5"/>
        <v/>
      </c>
      <c r="Q42" s="35" t="str">
        <f t="shared" si="6"/>
        <v/>
      </c>
    </row>
    <row r="43" spans="1:17" s="26" customFormat="1" ht="21.75" customHeight="1">
      <c r="A43" s="33"/>
      <c r="B43" s="36"/>
      <c r="C43" s="37"/>
      <c r="D43" s="37"/>
      <c r="E43" s="37"/>
      <c r="F43" s="37"/>
      <c r="G43" s="37"/>
      <c r="H43" s="37"/>
      <c r="I43" s="37"/>
      <c r="J43" s="37"/>
      <c r="K43" s="37" t="str">
        <f t="shared" si="0"/>
        <v/>
      </c>
      <c r="L43" s="38" t="str">
        <f t="shared" si="1"/>
        <v/>
      </c>
      <c r="M43" s="38" t="str">
        <f t="shared" si="2"/>
        <v/>
      </c>
      <c r="N43" s="33" t="str">
        <f t="shared" si="3"/>
        <v/>
      </c>
      <c r="O43" s="33" t="str">
        <f t="shared" si="4"/>
        <v/>
      </c>
      <c r="P43" s="34" t="str">
        <f t="shared" si="5"/>
        <v/>
      </c>
      <c r="Q43" s="35" t="str">
        <f t="shared" si="6"/>
        <v/>
      </c>
    </row>
    <row r="44" spans="1:17" s="26" customFormat="1" ht="21.75" customHeight="1">
      <c r="A44" s="33"/>
      <c r="B44" s="36"/>
      <c r="C44" s="37"/>
      <c r="D44" s="37"/>
      <c r="E44" s="37"/>
      <c r="F44" s="37"/>
      <c r="G44" s="37"/>
      <c r="H44" s="37"/>
      <c r="I44" s="37"/>
      <c r="J44" s="37"/>
      <c r="K44" s="37" t="str">
        <f t="shared" si="0"/>
        <v/>
      </c>
      <c r="L44" s="38" t="str">
        <f t="shared" si="1"/>
        <v/>
      </c>
      <c r="M44" s="38" t="str">
        <f t="shared" si="2"/>
        <v/>
      </c>
      <c r="N44" s="33" t="str">
        <f t="shared" si="3"/>
        <v/>
      </c>
      <c r="O44" s="33" t="str">
        <f t="shared" si="4"/>
        <v/>
      </c>
      <c r="P44" s="34" t="str">
        <f t="shared" si="5"/>
        <v/>
      </c>
      <c r="Q44" s="35" t="str">
        <f t="shared" si="6"/>
        <v/>
      </c>
    </row>
    <row r="45" spans="1:17" s="26" customFormat="1" ht="21.75" customHeight="1">
      <c r="A45" s="33"/>
      <c r="B45" s="36"/>
      <c r="C45" s="37"/>
      <c r="D45" s="37"/>
      <c r="E45" s="37"/>
      <c r="F45" s="37"/>
      <c r="G45" s="37"/>
      <c r="H45" s="37"/>
      <c r="I45" s="37"/>
      <c r="J45" s="37"/>
      <c r="K45" s="37" t="str">
        <f t="shared" si="0"/>
        <v/>
      </c>
      <c r="L45" s="38" t="str">
        <f t="shared" si="1"/>
        <v/>
      </c>
      <c r="M45" s="38" t="str">
        <f t="shared" si="2"/>
        <v/>
      </c>
      <c r="N45" s="33" t="str">
        <f t="shared" si="3"/>
        <v/>
      </c>
      <c r="O45" s="33" t="str">
        <f t="shared" si="4"/>
        <v/>
      </c>
      <c r="P45" s="34" t="str">
        <f t="shared" si="5"/>
        <v/>
      </c>
      <c r="Q45" s="35" t="str">
        <f t="shared" si="6"/>
        <v/>
      </c>
    </row>
    <row r="46" spans="1:17" s="26" customFormat="1" ht="21.75" customHeight="1">
      <c r="A46" s="33"/>
      <c r="B46" s="36"/>
      <c r="C46" s="37"/>
      <c r="D46" s="37"/>
      <c r="E46" s="37"/>
      <c r="F46" s="37"/>
      <c r="G46" s="37"/>
      <c r="H46" s="37"/>
      <c r="I46" s="37"/>
      <c r="J46" s="37"/>
      <c r="K46" s="37" t="str">
        <f t="shared" ref="K46:K63" si="7">IF($B46="","",IF(COUNT(C46:J46)=0,"",SUM(C46:J46)))</f>
        <v/>
      </c>
      <c r="L46" s="38" t="str">
        <f t="shared" ref="L46:L63" si="8">IF($B46="","",IF(COUNT(C46:J46)=0,"",ROUND(SUM(C46:J46)/COLUMNS(C46:J46),2)))</f>
        <v/>
      </c>
      <c r="M46" s="38" t="str">
        <f t="shared" ref="M46:M63" si="9">IF($B46="","",IF(COUNT(C46:J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)/COLUMNS(C46:J46),2)))</f>
        <v/>
      </c>
      <c r="N46" s="33" t="str">
        <f t="shared" ref="N46:N63" si="10">IF($B46="","",IF(M46="","",IF(M46=0,"F",IF(M46=5,"A+",IF(M46&gt;=4,"A",IF(M46&gt;=3.5,"A-",IF(M46&gt;=3,"B",IF(M46&gt;=2,"C",IF(M46&gt;=1,"D","F")))))))))</f>
        <v/>
      </c>
      <c r="O46" s="33" t="str">
        <f t="shared" ref="O46:O63" si="11">IF($B46="","",IF($P46="","",IF($P46=1,"1g",IF($P46=2,"2q",IF($P46=3,"3q",$P46)))))</f>
        <v/>
      </c>
      <c r="P46" s="34" t="str">
        <f t="shared" ref="P46:P63" si="12">IF($B46="","",IF(OR($N46="ফেল",$N46="অনুপস্থিত",$N46="অসম্পূর্ণ"),"",1+SUMPRODUCT(($Q$14:$Q$63&lt;&gt;"")*($Q$14:$Q$63&gt;Q46)/COUNTIF($Q$14:$Q$63,$Q$14:$Q$63))))</f>
        <v/>
      </c>
      <c r="Q46" s="35" t="str">
        <f t="shared" ref="Q46:Q63" si="13">IF($B46="","",L46)</f>
        <v/>
      </c>
    </row>
    <row r="47" spans="1:17" s="26" customFormat="1" ht="21.75" customHeight="1">
      <c r="A47" s="33"/>
      <c r="B47" s="36"/>
      <c r="C47" s="37"/>
      <c r="D47" s="37"/>
      <c r="E47" s="37"/>
      <c r="F47" s="37"/>
      <c r="G47" s="37"/>
      <c r="H47" s="37"/>
      <c r="I47" s="37"/>
      <c r="J47" s="37"/>
      <c r="K47" s="37" t="str">
        <f t="shared" si="7"/>
        <v/>
      </c>
      <c r="L47" s="38" t="str">
        <f t="shared" si="8"/>
        <v/>
      </c>
      <c r="M47" s="38" t="str">
        <f t="shared" si="9"/>
        <v/>
      </c>
      <c r="N47" s="33" t="str">
        <f t="shared" si="10"/>
        <v/>
      </c>
      <c r="O47" s="33" t="str">
        <f t="shared" si="11"/>
        <v/>
      </c>
      <c r="P47" s="34" t="str">
        <f t="shared" si="12"/>
        <v/>
      </c>
      <c r="Q47" s="35" t="str">
        <f t="shared" si="13"/>
        <v/>
      </c>
    </row>
    <row r="48" spans="1:17" s="26" customFormat="1" ht="21.75" customHeight="1">
      <c r="A48" s="33"/>
      <c r="B48" s="36"/>
      <c r="C48" s="37"/>
      <c r="D48" s="37"/>
      <c r="E48" s="37"/>
      <c r="F48" s="37"/>
      <c r="G48" s="37"/>
      <c r="H48" s="37"/>
      <c r="I48" s="37"/>
      <c r="J48" s="37"/>
      <c r="K48" s="37" t="str">
        <f t="shared" si="7"/>
        <v/>
      </c>
      <c r="L48" s="38" t="str">
        <f t="shared" si="8"/>
        <v/>
      </c>
      <c r="M48" s="38" t="str">
        <f t="shared" si="9"/>
        <v/>
      </c>
      <c r="N48" s="33" t="str">
        <f t="shared" si="10"/>
        <v/>
      </c>
      <c r="O48" s="33" t="str">
        <f t="shared" si="11"/>
        <v/>
      </c>
      <c r="P48" s="34" t="str">
        <f t="shared" si="12"/>
        <v/>
      </c>
      <c r="Q48" s="35" t="str">
        <f t="shared" si="13"/>
        <v/>
      </c>
    </row>
    <row r="49" spans="1:17" s="26" customFormat="1" ht="21.75" customHeight="1">
      <c r="A49" s="33"/>
      <c r="B49" s="36"/>
      <c r="C49" s="37"/>
      <c r="D49" s="37"/>
      <c r="E49" s="37"/>
      <c r="F49" s="37"/>
      <c r="G49" s="37"/>
      <c r="H49" s="37"/>
      <c r="I49" s="37"/>
      <c r="J49" s="37"/>
      <c r="K49" s="37" t="str">
        <f t="shared" si="7"/>
        <v/>
      </c>
      <c r="L49" s="38" t="str">
        <f t="shared" si="8"/>
        <v/>
      </c>
      <c r="M49" s="38" t="str">
        <f t="shared" si="9"/>
        <v/>
      </c>
      <c r="N49" s="33" t="str">
        <f t="shared" si="10"/>
        <v/>
      </c>
      <c r="O49" s="33" t="str">
        <f t="shared" si="11"/>
        <v/>
      </c>
      <c r="P49" s="34" t="str">
        <f t="shared" si="12"/>
        <v/>
      </c>
      <c r="Q49" s="35" t="str">
        <f t="shared" si="13"/>
        <v/>
      </c>
    </row>
    <row r="50" spans="1:17" s="26" customFormat="1" ht="21.75" customHeight="1">
      <c r="A50" s="33"/>
      <c r="B50" s="36"/>
      <c r="C50" s="37"/>
      <c r="D50" s="37"/>
      <c r="E50" s="37"/>
      <c r="F50" s="37"/>
      <c r="G50" s="37"/>
      <c r="H50" s="37"/>
      <c r="I50" s="37"/>
      <c r="J50" s="37"/>
      <c r="K50" s="37" t="str">
        <f t="shared" si="7"/>
        <v/>
      </c>
      <c r="L50" s="38" t="str">
        <f t="shared" si="8"/>
        <v/>
      </c>
      <c r="M50" s="38" t="str">
        <f t="shared" si="9"/>
        <v/>
      </c>
      <c r="N50" s="33" t="str">
        <f t="shared" si="10"/>
        <v/>
      </c>
      <c r="O50" s="33" t="str">
        <f t="shared" si="11"/>
        <v/>
      </c>
      <c r="P50" s="34" t="str">
        <f t="shared" si="12"/>
        <v/>
      </c>
      <c r="Q50" s="35" t="str">
        <f t="shared" si="13"/>
        <v/>
      </c>
    </row>
    <row r="51" spans="1:17" s="26" customFormat="1" ht="21.75" customHeight="1">
      <c r="A51" s="33"/>
      <c r="B51" s="36"/>
      <c r="C51" s="37"/>
      <c r="D51" s="37"/>
      <c r="E51" s="37"/>
      <c r="F51" s="37"/>
      <c r="G51" s="37"/>
      <c r="H51" s="37"/>
      <c r="I51" s="37"/>
      <c r="J51" s="37"/>
      <c r="K51" s="37" t="str">
        <f t="shared" si="7"/>
        <v/>
      </c>
      <c r="L51" s="38" t="str">
        <f t="shared" si="8"/>
        <v/>
      </c>
      <c r="M51" s="38" t="str">
        <f t="shared" si="9"/>
        <v/>
      </c>
      <c r="N51" s="33" t="str">
        <f t="shared" si="10"/>
        <v/>
      </c>
      <c r="O51" s="33" t="str">
        <f t="shared" si="11"/>
        <v/>
      </c>
      <c r="P51" s="34" t="str">
        <f t="shared" si="12"/>
        <v/>
      </c>
      <c r="Q51" s="35" t="str">
        <f t="shared" si="13"/>
        <v/>
      </c>
    </row>
    <row r="52" spans="1:17" s="26" customFormat="1" ht="21.75" customHeight="1">
      <c r="A52" s="33"/>
      <c r="B52" s="36"/>
      <c r="C52" s="37"/>
      <c r="D52" s="37"/>
      <c r="E52" s="37"/>
      <c r="F52" s="37"/>
      <c r="G52" s="37"/>
      <c r="H52" s="37"/>
      <c r="I52" s="37"/>
      <c r="J52" s="37"/>
      <c r="K52" s="37" t="str">
        <f t="shared" si="7"/>
        <v/>
      </c>
      <c r="L52" s="38" t="str">
        <f t="shared" si="8"/>
        <v/>
      </c>
      <c r="M52" s="38" t="str">
        <f t="shared" si="9"/>
        <v/>
      </c>
      <c r="N52" s="33" t="str">
        <f t="shared" si="10"/>
        <v/>
      </c>
      <c r="O52" s="33" t="str">
        <f t="shared" si="11"/>
        <v/>
      </c>
      <c r="P52" s="34" t="str">
        <f t="shared" si="12"/>
        <v/>
      </c>
      <c r="Q52" s="35" t="str">
        <f t="shared" si="13"/>
        <v/>
      </c>
    </row>
    <row r="53" spans="1:17" s="26" customFormat="1" ht="21.75" customHeight="1">
      <c r="A53" s="33"/>
      <c r="B53" s="36"/>
      <c r="C53" s="37"/>
      <c r="D53" s="37"/>
      <c r="E53" s="37"/>
      <c r="F53" s="37"/>
      <c r="G53" s="37"/>
      <c r="H53" s="37"/>
      <c r="I53" s="37"/>
      <c r="J53" s="37"/>
      <c r="K53" s="37" t="str">
        <f t="shared" si="7"/>
        <v/>
      </c>
      <c r="L53" s="38" t="str">
        <f t="shared" si="8"/>
        <v/>
      </c>
      <c r="M53" s="38" t="str">
        <f t="shared" si="9"/>
        <v/>
      </c>
      <c r="N53" s="33" t="str">
        <f t="shared" si="10"/>
        <v/>
      </c>
      <c r="O53" s="33" t="str">
        <f t="shared" si="11"/>
        <v/>
      </c>
      <c r="P53" s="34" t="str">
        <f t="shared" si="12"/>
        <v/>
      </c>
      <c r="Q53" s="35" t="str">
        <f t="shared" si="13"/>
        <v/>
      </c>
    </row>
    <row r="54" spans="1:17" s="26" customFormat="1" ht="21.75" customHeight="1">
      <c r="A54" s="33"/>
      <c r="B54" s="36"/>
      <c r="C54" s="37"/>
      <c r="D54" s="37"/>
      <c r="E54" s="37"/>
      <c r="F54" s="37"/>
      <c r="G54" s="37"/>
      <c r="H54" s="37"/>
      <c r="I54" s="37"/>
      <c r="J54" s="37"/>
      <c r="K54" s="37" t="str">
        <f t="shared" si="7"/>
        <v/>
      </c>
      <c r="L54" s="38" t="str">
        <f t="shared" si="8"/>
        <v/>
      </c>
      <c r="M54" s="38" t="str">
        <f t="shared" si="9"/>
        <v/>
      </c>
      <c r="N54" s="33" t="str">
        <f t="shared" si="10"/>
        <v/>
      </c>
      <c r="O54" s="33" t="str">
        <f t="shared" si="11"/>
        <v/>
      </c>
      <c r="P54" s="34" t="str">
        <f t="shared" si="12"/>
        <v/>
      </c>
      <c r="Q54" s="35" t="str">
        <f t="shared" si="13"/>
        <v/>
      </c>
    </row>
    <row r="55" spans="1:17" s="26" customFormat="1" ht="21.75" customHeight="1">
      <c r="A55" s="33"/>
      <c r="B55" s="36"/>
      <c r="C55" s="37"/>
      <c r="D55" s="37"/>
      <c r="E55" s="37"/>
      <c r="F55" s="37"/>
      <c r="G55" s="37"/>
      <c r="H55" s="37"/>
      <c r="I55" s="37"/>
      <c r="J55" s="37"/>
      <c r="K55" s="37" t="str">
        <f t="shared" si="7"/>
        <v/>
      </c>
      <c r="L55" s="38" t="str">
        <f t="shared" si="8"/>
        <v/>
      </c>
      <c r="M55" s="38" t="str">
        <f t="shared" si="9"/>
        <v/>
      </c>
      <c r="N55" s="33" t="str">
        <f t="shared" si="10"/>
        <v/>
      </c>
      <c r="O55" s="33" t="str">
        <f t="shared" si="11"/>
        <v/>
      </c>
      <c r="P55" s="34" t="str">
        <f t="shared" si="12"/>
        <v/>
      </c>
      <c r="Q55" s="35" t="str">
        <f t="shared" si="13"/>
        <v/>
      </c>
    </row>
    <row r="56" spans="1:17" s="26" customFormat="1" ht="21.75" customHeight="1">
      <c r="A56" s="33"/>
      <c r="B56" s="36"/>
      <c r="C56" s="37"/>
      <c r="D56" s="37"/>
      <c r="E56" s="37"/>
      <c r="F56" s="37"/>
      <c r="G56" s="37"/>
      <c r="H56" s="37"/>
      <c r="I56" s="37"/>
      <c r="J56" s="37"/>
      <c r="K56" s="37" t="str">
        <f t="shared" si="7"/>
        <v/>
      </c>
      <c r="L56" s="38" t="str">
        <f t="shared" si="8"/>
        <v/>
      </c>
      <c r="M56" s="38" t="str">
        <f t="shared" si="9"/>
        <v/>
      </c>
      <c r="N56" s="33" t="str">
        <f t="shared" si="10"/>
        <v/>
      </c>
      <c r="O56" s="33" t="str">
        <f t="shared" si="11"/>
        <v/>
      </c>
      <c r="P56" s="34" t="str">
        <f t="shared" si="12"/>
        <v/>
      </c>
      <c r="Q56" s="35" t="str">
        <f t="shared" si="13"/>
        <v/>
      </c>
    </row>
    <row r="57" spans="1:17" s="26" customFormat="1" ht="21.75" customHeight="1">
      <c r="A57" s="33"/>
      <c r="B57" s="36"/>
      <c r="C57" s="37"/>
      <c r="D57" s="37"/>
      <c r="E57" s="37"/>
      <c r="F57" s="37"/>
      <c r="G57" s="37"/>
      <c r="H57" s="37"/>
      <c r="I57" s="37"/>
      <c r="J57" s="37"/>
      <c r="K57" s="37" t="str">
        <f t="shared" si="7"/>
        <v/>
      </c>
      <c r="L57" s="38" t="str">
        <f t="shared" si="8"/>
        <v/>
      </c>
      <c r="M57" s="38" t="str">
        <f t="shared" si="9"/>
        <v/>
      </c>
      <c r="N57" s="33" t="str">
        <f t="shared" si="10"/>
        <v/>
      </c>
      <c r="O57" s="33" t="str">
        <f t="shared" si="11"/>
        <v/>
      </c>
      <c r="P57" s="34" t="str">
        <f t="shared" si="12"/>
        <v/>
      </c>
      <c r="Q57" s="35" t="str">
        <f t="shared" si="13"/>
        <v/>
      </c>
    </row>
    <row r="58" spans="1:17" s="26" customFormat="1" ht="21.75" customHeight="1">
      <c r="A58" s="33"/>
      <c r="B58" s="36"/>
      <c r="C58" s="37"/>
      <c r="D58" s="37"/>
      <c r="E58" s="37"/>
      <c r="F58" s="37"/>
      <c r="G58" s="37"/>
      <c r="H58" s="37"/>
      <c r="I58" s="37"/>
      <c r="J58" s="37"/>
      <c r="K58" s="37" t="str">
        <f t="shared" si="7"/>
        <v/>
      </c>
      <c r="L58" s="38" t="str">
        <f t="shared" si="8"/>
        <v/>
      </c>
      <c r="M58" s="38" t="str">
        <f t="shared" si="9"/>
        <v/>
      </c>
      <c r="N58" s="33" t="str">
        <f t="shared" si="10"/>
        <v/>
      </c>
      <c r="O58" s="33" t="str">
        <f t="shared" si="11"/>
        <v/>
      </c>
      <c r="P58" s="34" t="str">
        <f t="shared" si="12"/>
        <v/>
      </c>
      <c r="Q58" s="35" t="str">
        <f t="shared" si="13"/>
        <v/>
      </c>
    </row>
    <row r="59" spans="1:17" s="26" customFormat="1" ht="21.75" customHeight="1">
      <c r="A59" s="33">
        <v>46</v>
      </c>
      <c r="B59" s="36"/>
      <c r="C59" s="37"/>
      <c r="D59" s="37"/>
      <c r="E59" s="37"/>
      <c r="F59" s="37"/>
      <c r="G59" s="37"/>
      <c r="H59" s="37"/>
      <c r="I59" s="37"/>
      <c r="J59" s="37"/>
      <c r="K59" s="37" t="str">
        <f t="shared" si="7"/>
        <v/>
      </c>
      <c r="L59" s="38" t="str">
        <f t="shared" si="8"/>
        <v/>
      </c>
      <c r="M59" s="38" t="str">
        <f t="shared" si="9"/>
        <v/>
      </c>
      <c r="N59" s="33" t="str">
        <f t="shared" si="10"/>
        <v/>
      </c>
      <c r="O59" s="33" t="str">
        <f t="shared" si="11"/>
        <v/>
      </c>
      <c r="P59" s="34" t="str">
        <f t="shared" si="12"/>
        <v/>
      </c>
      <c r="Q59" s="35" t="str">
        <f t="shared" si="13"/>
        <v/>
      </c>
    </row>
    <row r="60" spans="1:17" s="26" customFormat="1" ht="21.75" customHeight="1">
      <c r="A60" s="33">
        <v>47</v>
      </c>
      <c r="B60" s="36"/>
      <c r="C60" s="37"/>
      <c r="D60" s="37"/>
      <c r="E60" s="37"/>
      <c r="F60" s="37"/>
      <c r="G60" s="37"/>
      <c r="H60" s="37"/>
      <c r="I60" s="37"/>
      <c r="J60" s="37"/>
      <c r="K60" s="37" t="str">
        <f t="shared" si="7"/>
        <v/>
      </c>
      <c r="L60" s="38" t="str">
        <f t="shared" si="8"/>
        <v/>
      </c>
      <c r="M60" s="38" t="str">
        <f t="shared" si="9"/>
        <v/>
      </c>
      <c r="N60" s="33" t="str">
        <f t="shared" si="10"/>
        <v/>
      </c>
      <c r="O60" s="33" t="str">
        <f t="shared" si="11"/>
        <v/>
      </c>
      <c r="P60" s="34" t="str">
        <f t="shared" si="12"/>
        <v/>
      </c>
      <c r="Q60" s="35" t="str">
        <f t="shared" si="13"/>
        <v/>
      </c>
    </row>
    <row r="61" spans="1:17" s="26" customFormat="1" ht="21.75" customHeight="1">
      <c r="A61" s="33">
        <v>48</v>
      </c>
      <c r="B61" s="36"/>
      <c r="C61" s="37"/>
      <c r="D61" s="37"/>
      <c r="E61" s="37"/>
      <c r="F61" s="37"/>
      <c r="G61" s="37"/>
      <c r="H61" s="37"/>
      <c r="I61" s="37"/>
      <c r="J61" s="37"/>
      <c r="K61" s="37" t="str">
        <f t="shared" si="7"/>
        <v/>
      </c>
      <c r="L61" s="38" t="str">
        <f t="shared" si="8"/>
        <v/>
      </c>
      <c r="M61" s="38" t="str">
        <f t="shared" si="9"/>
        <v/>
      </c>
      <c r="N61" s="33" t="str">
        <f t="shared" si="10"/>
        <v/>
      </c>
      <c r="O61" s="33" t="str">
        <f t="shared" si="11"/>
        <v/>
      </c>
      <c r="P61" s="34" t="str">
        <f t="shared" si="12"/>
        <v/>
      </c>
      <c r="Q61" s="35" t="str">
        <f t="shared" si="13"/>
        <v/>
      </c>
    </row>
    <row r="62" spans="1:17" s="26" customFormat="1" ht="21.75" customHeight="1">
      <c r="A62" s="33">
        <v>49</v>
      </c>
      <c r="B62" s="36"/>
      <c r="C62" s="37"/>
      <c r="D62" s="37"/>
      <c r="E62" s="37"/>
      <c r="F62" s="37"/>
      <c r="G62" s="37"/>
      <c r="H62" s="37"/>
      <c r="I62" s="37"/>
      <c r="J62" s="37"/>
      <c r="K62" s="37" t="str">
        <f t="shared" si="7"/>
        <v/>
      </c>
      <c r="L62" s="38" t="str">
        <f t="shared" si="8"/>
        <v/>
      </c>
      <c r="M62" s="38" t="str">
        <f t="shared" si="9"/>
        <v/>
      </c>
      <c r="N62" s="33" t="str">
        <f t="shared" si="10"/>
        <v/>
      </c>
      <c r="O62" s="33" t="str">
        <f t="shared" si="11"/>
        <v/>
      </c>
      <c r="P62" s="34" t="str">
        <f t="shared" si="12"/>
        <v/>
      </c>
      <c r="Q62" s="35" t="str">
        <f t="shared" si="13"/>
        <v/>
      </c>
    </row>
    <row r="63" spans="1:17" s="26" customFormat="1" ht="21.75" customHeight="1">
      <c r="A63" s="33">
        <v>50</v>
      </c>
      <c r="B63" s="36"/>
      <c r="C63" s="37"/>
      <c r="D63" s="37"/>
      <c r="E63" s="37"/>
      <c r="F63" s="37"/>
      <c r="G63" s="37"/>
      <c r="H63" s="37"/>
      <c r="I63" s="37"/>
      <c r="J63" s="37"/>
      <c r="K63" s="37" t="str">
        <f t="shared" si="7"/>
        <v/>
      </c>
      <c r="L63" s="38" t="str">
        <f t="shared" si="8"/>
        <v/>
      </c>
      <c r="M63" s="38" t="str">
        <f t="shared" si="9"/>
        <v/>
      </c>
      <c r="N63" s="33" t="str">
        <f t="shared" si="10"/>
        <v/>
      </c>
      <c r="O63" s="33" t="str">
        <f t="shared" si="11"/>
        <v/>
      </c>
      <c r="P63" s="34" t="str">
        <f t="shared" si="12"/>
        <v/>
      </c>
      <c r="Q63" s="35" t="str">
        <f t="shared" si="13"/>
        <v/>
      </c>
    </row>
    <row r="64" spans="1:17" s="26" customFormat="1" ht="21.75" customHeight="1">
      <c r="A64" s="33">
        <v>51</v>
      </c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8"/>
      <c r="N64" s="33"/>
      <c r="O64" s="33"/>
      <c r="P64" s="34"/>
      <c r="Q64" s="35"/>
    </row>
    <row r="65" spans="1:17" s="26" customFormat="1" ht="21.75" customHeight="1">
      <c r="A65" s="33">
        <v>52</v>
      </c>
      <c r="B65" s="36"/>
      <c r="C65" s="37"/>
      <c r="D65" s="37"/>
      <c r="E65" s="37"/>
      <c r="F65" s="37"/>
      <c r="G65" s="37"/>
      <c r="H65" s="37"/>
      <c r="I65" s="37"/>
      <c r="J65" s="37"/>
      <c r="K65" s="37"/>
      <c r="L65" s="38"/>
      <c r="M65" s="38"/>
      <c r="N65" s="33"/>
      <c r="O65" s="33"/>
      <c r="P65" s="34"/>
      <c r="Q65" s="35"/>
    </row>
    <row r="66" spans="1:17" s="26" customFormat="1" ht="21.75" customHeight="1">
      <c r="A66" s="33">
        <v>53</v>
      </c>
      <c r="B66" s="36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8"/>
      <c r="N66" s="33"/>
      <c r="O66" s="33"/>
      <c r="P66" s="34"/>
      <c r="Q66" s="35"/>
    </row>
    <row r="67" spans="1:17" s="26" customFormat="1" ht="21.75" customHeight="1">
      <c r="A67" s="33">
        <v>54</v>
      </c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8"/>
      <c r="M67" s="38"/>
      <c r="N67" s="33"/>
      <c r="O67" s="33"/>
      <c r="P67" s="34"/>
      <c r="Q67" s="35"/>
    </row>
    <row r="68" spans="1:17" s="26" customFormat="1" ht="21.75" customHeight="1">
      <c r="A68" s="33">
        <v>55</v>
      </c>
      <c r="B68" s="36"/>
      <c r="C68" s="37"/>
      <c r="D68" s="37"/>
      <c r="E68" s="37"/>
      <c r="F68" s="37"/>
      <c r="G68" s="37"/>
      <c r="H68" s="37"/>
      <c r="I68" s="37"/>
      <c r="J68" s="37"/>
      <c r="K68" s="37"/>
      <c r="L68" s="38"/>
      <c r="M68" s="38"/>
      <c r="N68" s="33"/>
      <c r="O68" s="33"/>
      <c r="P68" s="34"/>
      <c r="Q68" s="35"/>
    </row>
    <row r="69" spans="1:17" s="26" customFormat="1" ht="21.75" customHeight="1">
      <c r="A69" s="33">
        <v>56</v>
      </c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8"/>
      <c r="M69" s="38"/>
      <c r="N69" s="33"/>
      <c r="O69" s="33"/>
      <c r="P69" s="34"/>
      <c r="Q69" s="35"/>
    </row>
    <row r="70" spans="1:17" s="26" customFormat="1" ht="21.75" customHeight="1">
      <c r="A70" s="33">
        <v>57</v>
      </c>
      <c r="B70" s="36"/>
      <c r="C70" s="37"/>
      <c r="D70" s="37"/>
      <c r="E70" s="37"/>
      <c r="F70" s="37"/>
      <c r="G70" s="37"/>
      <c r="H70" s="37"/>
      <c r="I70" s="37"/>
      <c r="J70" s="37"/>
      <c r="K70" s="37" t="str">
        <f t="shared" ref="K70:K113" si="14">IF($B70="","",IF(COUNT(C70:J70)=0,"অনুপস্থিত",IF(COUNT(C70:J70)&lt;7,"অসম্পূর্ণ",SUM(C70:J70))))</f>
        <v/>
      </c>
      <c r="L70" s="38" t="str">
        <f t="shared" ref="L70:L113" si="15">IF($B70="","",IF(COUNT(C70:J70)=0,"অনুপস্থিত",IF(COUNT(C70:J70)&lt;7,"অসম্পূর্ণ",ROUND(SUM(C70:J70)/7,2))))</f>
        <v/>
      </c>
      <c r="M70" s="38" t="str">
        <f t="shared" ref="M70:M113" si="16">IF($B70="","",IF(COUNT(C70:J70)=0,"অনুপস্থিত",IF(COUNT(C70:J70)&lt;7,"অসম্পূর্ণ",ROUND((IF(ISNUMBER(C70),IF(C70&gt;=80,5,IF(C70&gt;=70,4,IF(C70&gt;=60,3.5,IF(C70&gt;=50,3,IF(C70&gt;=40,2,IF(C70&gt;=33,1,0)))))),0)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IF(ISNUMBER(J70),IF(J70&gt;=80,5,IF(J70&gt;=70,4,IF(J70&gt;=60,3.5,IF(J70&gt;=50,3,IF(J70&gt;=40,2,IF(J70&gt;=33,1,0)))))),0))/7,2))))</f>
        <v/>
      </c>
      <c r="N70" s="33" t="str">
        <f t="shared" ref="N70:N113" si="17">IF($B70="","",IF(COUNT(C70:J70)=0,"অনুপস্থিত",IF(COUNT(C70:J70)&lt;7,"অসম্পূর্ণ",IF(MIN(C70:J70)&lt;33,"ফেল",IF(M70=5,"A+",IF(M70&gt;=4,"A",IF(M70&gt;=3.5,"A-",IF(M70&gt;=3,"B",IF(M70&gt;=2,"C",IF(M70&gt;=1,"D","F"))))))))))</f>
        <v/>
      </c>
      <c r="O70" s="33" t="str">
        <f t="shared" ref="O70:O113" si="18">IF($B70="","",IF($N70="ফেল","ফেল",IF($N70="অনুপস্থিত","অনুপস্থিত",IF($N70="অসম্পূর্ণ","অসম্পূর্ণ",IF($P70=1,"1ম",IF($P70=2,"2য়",IF($P70=3,"3য়",$P70)))))))</f>
        <v/>
      </c>
      <c r="P70" s="34"/>
      <c r="Q70" s="35"/>
    </row>
    <row r="71" spans="1:17" s="26" customFormat="1" ht="21.75" customHeight="1">
      <c r="A71" s="33">
        <v>58</v>
      </c>
      <c r="B71" s="36"/>
      <c r="C71" s="37"/>
      <c r="D71" s="37"/>
      <c r="E71" s="37"/>
      <c r="F71" s="37"/>
      <c r="G71" s="37"/>
      <c r="H71" s="37"/>
      <c r="I71" s="37"/>
      <c r="J71" s="37"/>
      <c r="K71" s="37" t="str">
        <f t="shared" si="14"/>
        <v/>
      </c>
      <c r="L71" s="38" t="str">
        <f t="shared" si="15"/>
        <v/>
      </c>
      <c r="M71" s="38" t="str">
        <f t="shared" si="16"/>
        <v/>
      </c>
      <c r="N71" s="33" t="str">
        <f t="shared" si="17"/>
        <v/>
      </c>
      <c r="O71" s="33" t="str">
        <f t="shared" si="18"/>
        <v/>
      </c>
      <c r="P71" s="34"/>
      <c r="Q71" s="35"/>
    </row>
    <row r="72" spans="1:17" s="26" customFormat="1" ht="21.75" customHeight="1">
      <c r="A72" s="33">
        <v>59</v>
      </c>
      <c r="B72" s="36"/>
      <c r="C72" s="37"/>
      <c r="D72" s="37"/>
      <c r="E72" s="37"/>
      <c r="F72" s="37"/>
      <c r="G72" s="37"/>
      <c r="H72" s="37"/>
      <c r="I72" s="37"/>
      <c r="J72" s="37"/>
      <c r="K72" s="37" t="str">
        <f t="shared" si="14"/>
        <v/>
      </c>
      <c r="L72" s="38" t="str">
        <f t="shared" si="15"/>
        <v/>
      </c>
      <c r="M72" s="38" t="str">
        <f t="shared" si="16"/>
        <v/>
      </c>
      <c r="N72" s="33" t="str">
        <f t="shared" si="17"/>
        <v/>
      </c>
      <c r="O72" s="33" t="str">
        <f t="shared" si="18"/>
        <v/>
      </c>
      <c r="P72" s="34"/>
      <c r="Q72" s="35"/>
    </row>
    <row r="73" spans="1:17" s="26" customFormat="1" ht="21.75" customHeight="1">
      <c r="A73" s="33">
        <v>60</v>
      </c>
      <c r="B73" s="36"/>
      <c r="C73" s="37"/>
      <c r="D73" s="37"/>
      <c r="E73" s="37"/>
      <c r="F73" s="37"/>
      <c r="G73" s="37"/>
      <c r="H73" s="37"/>
      <c r="I73" s="37"/>
      <c r="J73" s="37"/>
      <c r="K73" s="37" t="str">
        <f t="shared" si="14"/>
        <v/>
      </c>
      <c r="L73" s="38" t="str">
        <f t="shared" si="15"/>
        <v/>
      </c>
      <c r="M73" s="38" t="str">
        <f t="shared" si="16"/>
        <v/>
      </c>
      <c r="N73" s="33" t="str">
        <f t="shared" si="17"/>
        <v/>
      </c>
      <c r="O73" s="33" t="str">
        <f t="shared" si="18"/>
        <v/>
      </c>
      <c r="P73" s="34"/>
      <c r="Q73" s="35"/>
    </row>
    <row r="74" spans="1:17" s="26" customFormat="1" ht="21.75" customHeight="1">
      <c r="A74" s="33">
        <v>61</v>
      </c>
      <c r="B74" s="36"/>
      <c r="C74" s="37"/>
      <c r="D74" s="37"/>
      <c r="E74" s="37"/>
      <c r="F74" s="37"/>
      <c r="G74" s="37"/>
      <c r="H74" s="37"/>
      <c r="I74" s="37"/>
      <c r="J74" s="37"/>
      <c r="K74" s="37" t="str">
        <f t="shared" si="14"/>
        <v/>
      </c>
      <c r="L74" s="38" t="str">
        <f t="shared" si="15"/>
        <v/>
      </c>
      <c r="M74" s="38" t="str">
        <f t="shared" si="16"/>
        <v/>
      </c>
      <c r="N74" s="33" t="str">
        <f t="shared" si="17"/>
        <v/>
      </c>
      <c r="O74" s="33" t="str">
        <f t="shared" si="18"/>
        <v/>
      </c>
      <c r="P74" s="34"/>
      <c r="Q74" s="35"/>
    </row>
    <row r="75" spans="1:17" s="26" customFormat="1" ht="21.75" customHeight="1">
      <c r="A75" s="33">
        <v>62</v>
      </c>
      <c r="B75" s="36"/>
      <c r="C75" s="37"/>
      <c r="D75" s="37"/>
      <c r="E75" s="37"/>
      <c r="F75" s="37"/>
      <c r="G75" s="37"/>
      <c r="H75" s="37"/>
      <c r="I75" s="37"/>
      <c r="J75" s="37"/>
      <c r="K75" s="37" t="str">
        <f t="shared" si="14"/>
        <v/>
      </c>
      <c r="L75" s="38" t="str">
        <f t="shared" si="15"/>
        <v/>
      </c>
      <c r="M75" s="38" t="str">
        <f t="shared" si="16"/>
        <v/>
      </c>
      <c r="N75" s="33" t="str">
        <f t="shared" si="17"/>
        <v/>
      </c>
      <c r="O75" s="33" t="str">
        <f t="shared" si="18"/>
        <v/>
      </c>
      <c r="P75" s="34"/>
      <c r="Q75" s="35"/>
    </row>
    <row r="76" spans="1:17" s="26" customFormat="1" ht="21.75" customHeight="1">
      <c r="A76" s="33">
        <v>63</v>
      </c>
      <c r="B76" s="36"/>
      <c r="C76" s="37"/>
      <c r="D76" s="37"/>
      <c r="E76" s="37"/>
      <c r="F76" s="37"/>
      <c r="G76" s="37"/>
      <c r="H76" s="37"/>
      <c r="I76" s="37"/>
      <c r="J76" s="37"/>
      <c r="K76" s="37" t="str">
        <f t="shared" si="14"/>
        <v/>
      </c>
      <c r="L76" s="38" t="str">
        <f t="shared" si="15"/>
        <v/>
      </c>
      <c r="M76" s="38" t="str">
        <f t="shared" si="16"/>
        <v/>
      </c>
      <c r="N76" s="33" t="str">
        <f t="shared" si="17"/>
        <v/>
      </c>
      <c r="O76" s="33" t="str">
        <f t="shared" si="18"/>
        <v/>
      </c>
      <c r="P76" s="34"/>
      <c r="Q76" s="35"/>
    </row>
    <row r="77" spans="1:17" s="26" customFormat="1" ht="21.75" customHeight="1">
      <c r="A77" s="33">
        <v>64</v>
      </c>
      <c r="B77" s="36"/>
      <c r="C77" s="37"/>
      <c r="D77" s="37"/>
      <c r="E77" s="37"/>
      <c r="F77" s="37"/>
      <c r="G77" s="37"/>
      <c r="H77" s="37"/>
      <c r="I77" s="37"/>
      <c r="J77" s="37"/>
      <c r="K77" s="37" t="str">
        <f t="shared" si="14"/>
        <v/>
      </c>
      <c r="L77" s="38" t="str">
        <f t="shared" si="15"/>
        <v/>
      </c>
      <c r="M77" s="38" t="str">
        <f t="shared" si="16"/>
        <v/>
      </c>
      <c r="N77" s="33" t="str">
        <f t="shared" si="17"/>
        <v/>
      </c>
      <c r="O77" s="33" t="str">
        <f t="shared" si="18"/>
        <v/>
      </c>
      <c r="P77" s="34"/>
      <c r="Q77" s="35"/>
    </row>
    <row r="78" spans="1:17" s="26" customFormat="1" ht="21.75" customHeight="1">
      <c r="A78" s="33">
        <v>65</v>
      </c>
      <c r="B78" s="36"/>
      <c r="C78" s="37"/>
      <c r="D78" s="37"/>
      <c r="E78" s="37"/>
      <c r="F78" s="37"/>
      <c r="G78" s="37"/>
      <c r="H78" s="37"/>
      <c r="I78" s="37"/>
      <c r="J78" s="37"/>
      <c r="K78" s="37" t="str">
        <f t="shared" si="14"/>
        <v/>
      </c>
      <c r="L78" s="38" t="str">
        <f t="shared" si="15"/>
        <v/>
      </c>
      <c r="M78" s="38" t="str">
        <f t="shared" si="16"/>
        <v/>
      </c>
      <c r="N78" s="33" t="str">
        <f t="shared" si="17"/>
        <v/>
      </c>
      <c r="O78" s="33" t="str">
        <f t="shared" si="18"/>
        <v/>
      </c>
      <c r="P78" s="34" t="str">
        <f t="shared" ref="P78:P113" si="19">IF($B78="","",IF(OR($N78="ফেল",$N78="অনুপস্থিত",$N78="অসম্পূর্ণ"),"",1+SUMPRODUCT(($Q$14:$Q$113&lt;&gt;"")*($Q$14:$Q$113&gt;$Q78)/COUNTIF($Q$14:$Q$113,$Q$14:$Q$113))))</f>
        <v/>
      </c>
      <c r="Q78" s="35" t="str">
        <f t="shared" ref="Q78:Q113" si="20">IF($B78="","",IF(OR($N78="ফেল",$N78="অনুপস্থিত",$N78="অসম্পূর্ণ"),"",$L78))</f>
        <v/>
      </c>
    </row>
    <row r="79" spans="1:17" s="26" customFormat="1" ht="21.75" customHeight="1">
      <c r="A79" s="33">
        <v>66</v>
      </c>
      <c r="B79" s="36"/>
      <c r="C79" s="37"/>
      <c r="D79" s="37"/>
      <c r="E79" s="37"/>
      <c r="F79" s="37"/>
      <c r="G79" s="37"/>
      <c r="H79" s="37"/>
      <c r="I79" s="37"/>
      <c r="J79" s="37"/>
      <c r="K79" s="37" t="str">
        <f t="shared" si="14"/>
        <v/>
      </c>
      <c r="L79" s="38" t="str">
        <f t="shared" si="15"/>
        <v/>
      </c>
      <c r="M79" s="38" t="str">
        <f t="shared" si="16"/>
        <v/>
      </c>
      <c r="N79" s="33" t="str">
        <f t="shared" si="17"/>
        <v/>
      </c>
      <c r="O79" s="33" t="str">
        <f t="shared" si="18"/>
        <v/>
      </c>
      <c r="P79" s="34" t="str">
        <f t="shared" si="19"/>
        <v/>
      </c>
      <c r="Q79" s="35" t="str">
        <f t="shared" si="20"/>
        <v/>
      </c>
    </row>
    <row r="80" spans="1:17" s="26" customFormat="1" ht="21.75" customHeight="1">
      <c r="A80" s="33">
        <v>67</v>
      </c>
      <c r="B80" s="36"/>
      <c r="C80" s="37"/>
      <c r="D80" s="37"/>
      <c r="E80" s="37"/>
      <c r="F80" s="37"/>
      <c r="G80" s="37"/>
      <c r="H80" s="37"/>
      <c r="I80" s="37"/>
      <c r="J80" s="37"/>
      <c r="K80" s="37" t="str">
        <f t="shared" si="14"/>
        <v/>
      </c>
      <c r="L80" s="38" t="str">
        <f t="shared" si="15"/>
        <v/>
      </c>
      <c r="M80" s="38" t="str">
        <f t="shared" si="16"/>
        <v/>
      </c>
      <c r="N80" s="33" t="str">
        <f t="shared" si="17"/>
        <v/>
      </c>
      <c r="O80" s="33" t="str">
        <f t="shared" si="18"/>
        <v/>
      </c>
      <c r="P80" s="34" t="str">
        <f t="shared" si="19"/>
        <v/>
      </c>
      <c r="Q80" s="35" t="str">
        <f t="shared" si="20"/>
        <v/>
      </c>
    </row>
    <row r="81" spans="1:17" s="26" customFormat="1" ht="21.75" customHeight="1">
      <c r="A81" s="33">
        <v>68</v>
      </c>
      <c r="B81" s="36"/>
      <c r="C81" s="37"/>
      <c r="D81" s="37"/>
      <c r="E81" s="37"/>
      <c r="F81" s="37"/>
      <c r="G81" s="37"/>
      <c r="H81" s="37"/>
      <c r="I81" s="37"/>
      <c r="J81" s="37"/>
      <c r="K81" s="37" t="str">
        <f t="shared" si="14"/>
        <v/>
      </c>
      <c r="L81" s="38" t="str">
        <f t="shared" si="15"/>
        <v/>
      </c>
      <c r="M81" s="38" t="str">
        <f t="shared" si="16"/>
        <v/>
      </c>
      <c r="N81" s="33" t="str">
        <f t="shared" si="17"/>
        <v/>
      </c>
      <c r="O81" s="33" t="str">
        <f t="shared" si="18"/>
        <v/>
      </c>
      <c r="P81" s="34" t="str">
        <f t="shared" si="19"/>
        <v/>
      </c>
      <c r="Q81" s="35" t="str">
        <f t="shared" si="20"/>
        <v/>
      </c>
    </row>
    <row r="82" spans="1:17" s="26" customFormat="1" ht="21.75" customHeight="1">
      <c r="A82" s="33">
        <v>69</v>
      </c>
      <c r="B82" s="36"/>
      <c r="C82" s="37"/>
      <c r="D82" s="37"/>
      <c r="E82" s="37"/>
      <c r="F82" s="37"/>
      <c r="G82" s="37"/>
      <c r="H82" s="37"/>
      <c r="I82" s="37"/>
      <c r="J82" s="37"/>
      <c r="K82" s="37" t="str">
        <f t="shared" si="14"/>
        <v/>
      </c>
      <c r="L82" s="38" t="str">
        <f t="shared" si="15"/>
        <v/>
      </c>
      <c r="M82" s="38" t="str">
        <f t="shared" si="16"/>
        <v/>
      </c>
      <c r="N82" s="33" t="str">
        <f t="shared" si="17"/>
        <v/>
      </c>
      <c r="O82" s="33" t="str">
        <f t="shared" si="18"/>
        <v/>
      </c>
      <c r="P82" s="34" t="str">
        <f t="shared" si="19"/>
        <v/>
      </c>
      <c r="Q82" s="35" t="str">
        <f t="shared" si="20"/>
        <v/>
      </c>
    </row>
    <row r="83" spans="1:17" s="26" customFormat="1" ht="21.75" customHeight="1">
      <c r="A83" s="33">
        <v>70</v>
      </c>
      <c r="B83" s="36"/>
      <c r="C83" s="37"/>
      <c r="D83" s="37"/>
      <c r="E83" s="37"/>
      <c r="F83" s="37"/>
      <c r="G83" s="37"/>
      <c r="H83" s="37"/>
      <c r="I83" s="37"/>
      <c r="J83" s="37"/>
      <c r="K83" s="37" t="str">
        <f t="shared" si="14"/>
        <v/>
      </c>
      <c r="L83" s="38" t="str">
        <f t="shared" si="15"/>
        <v/>
      </c>
      <c r="M83" s="38" t="str">
        <f t="shared" si="16"/>
        <v/>
      </c>
      <c r="N83" s="33" t="str">
        <f t="shared" si="17"/>
        <v/>
      </c>
      <c r="O83" s="33" t="str">
        <f t="shared" si="18"/>
        <v/>
      </c>
      <c r="P83" s="34" t="str">
        <f t="shared" si="19"/>
        <v/>
      </c>
      <c r="Q83" s="35" t="str">
        <f t="shared" si="20"/>
        <v/>
      </c>
    </row>
    <row r="84" spans="1:17" s="26" customFormat="1" ht="21.75" customHeight="1">
      <c r="A84" s="33">
        <v>71</v>
      </c>
      <c r="B84" s="36"/>
      <c r="C84" s="37"/>
      <c r="D84" s="37"/>
      <c r="E84" s="37"/>
      <c r="F84" s="37"/>
      <c r="G84" s="37"/>
      <c r="H84" s="37"/>
      <c r="I84" s="37"/>
      <c r="J84" s="37"/>
      <c r="K84" s="37" t="str">
        <f t="shared" si="14"/>
        <v/>
      </c>
      <c r="L84" s="38" t="str">
        <f t="shared" si="15"/>
        <v/>
      </c>
      <c r="M84" s="38" t="str">
        <f t="shared" si="16"/>
        <v/>
      </c>
      <c r="N84" s="33" t="str">
        <f t="shared" si="17"/>
        <v/>
      </c>
      <c r="O84" s="33" t="str">
        <f t="shared" si="18"/>
        <v/>
      </c>
      <c r="P84" s="34" t="str">
        <f t="shared" si="19"/>
        <v/>
      </c>
      <c r="Q84" s="35" t="str">
        <f t="shared" si="20"/>
        <v/>
      </c>
    </row>
    <row r="85" spans="1:17" s="26" customFormat="1" ht="21.75" customHeight="1">
      <c r="A85" s="33">
        <v>72</v>
      </c>
      <c r="B85" s="36"/>
      <c r="C85" s="37"/>
      <c r="D85" s="37"/>
      <c r="E85" s="37"/>
      <c r="F85" s="37"/>
      <c r="G85" s="37"/>
      <c r="H85" s="37"/>
      <c r="I85" s="37"/>
      <c r="J85" s="37"/>
      <c r="K85" s="37" t="str">
        <f t="shared" si="14"/>
        <v/>
      </c>
      <c r="L85" s="38" t="str">
        <f t="shared" si="15"/>
        <v/>
      </c>
      <c r="M85" s="38" t="str">
        <f t="shared" si="16"/>
        <v/>
      </c>
      <c r="N85" s="33" t="str">
        <f t="shared" si="17"/>
        <v/>
      </c>
      <c r="O85" s="33" t="str">
        <f t="shared" si="18"/>
        <v/>
      </c>
      <c r="P85" s="34" t="str">
        <f t="shared" si="19"/>
        <v/>
      </c>
      <c r="Q85" s="35" t="str">
        <f t="shared" si="20"/>
        <v/>
      </c>
    </row>
    <row r="86" spans="1:17" s="26" customFormat="1" ht="21.75" customHeight="1">
      <c r="A86" s="33">
        <v>73</v>
      </c>
      <c r="B86" s="36"/>
      <c r="C86" s="37"/>
      <c r="D86" s="37"/>
      <c r="E86" s="37"/>
      <c r="F86" s="37"/>
      <c r="G86" s="37"/>
      <c r="H86" s="37"/>
      <c r="I86" s="37"/>
      <c r="J86" s="37"/>
      <c r="K86" s="37" t="str">
        <f t="shared" si="14"/>
        <v/>
      </c>
      <c r="L86" s="38" t="str">
        <f t="shared" si="15"/>
        <v/>
      </c>
      <c r="M86" s="38" t="str">
        <f t="shared" si="16"/>
        <v/>
      </c>
      <c r="N86" s="33" t="str">
        <f t="shared" si="17"/>
        <v/>
      </c>
      <c r="O86" s="33" t="str">
        <f t="shared" si="18"/>
        <v/>
      </c>
      <c r="P86" s="34" t="str">
        <f t="shared" si="19"/>
        <v/>
      </c>
      <c r="Q86" s="35" t="str">
        <f t="shared" si="20"/>
        <v/>
      </c>
    </row>
    <row r="87" spans="1:17" s="26" customFormat="1" ht="21.75" customHeight="1">
      <c r="A87" s="33">
        <v>74</v>
      </c>
      <c r="B87" s="36"/>
      <c r="C87" s="37"/>
      <c r="D87" s="37"/>
      <c r="E87" s="37"/>
      <c r="F87" s="37"/>
      <c r="G87" s="37"/>
      <c r="H87" s="37"/>
      <c r="I87" s="37"/>
      <c r="J87" s="37"/>
      <c r="K87" s="37" t="str">
        <f t="shared" si="14"/>
        <v/>
      </c>
      <c r="L87" s="38" t="str">
        <f t="shared" si="15"/>
        <v/>
      </c>
      <c r="M87" s="38" t="str">
        <f t="shared" si="16"/>
        <v/>
      </c>
      <c r="N87" s="33" t="str">
        <f t="shared" si="17"/>
        <v/>
      </c>
      <c r="O87" s="33" t="str">
        <f t="shared" si="18"/>
        <v/>
      </c>
      <c r="P87" s="34" t="str">
        <f t="shared" si="19"/>
        <v/>
      </c>
      <c r="Q87" s="35" t="str">
        <f t="shared" si="20"/>
        <v/>
      </c>
    </row>
    <row r="88" spans="1:17" s="26" customFormat="1" ht="21.75" customHeight="1">
      <c r="A88" s="33">
        <v>75</v>
      </c>
      <c r="B88" s="36"/>
      <c r="C88" s="37"/>
      <c r="D88" s="37"/>
      <c r="E88" s="37"/>
      <c r="F88" s="37"/>
      <c r="G88" s="37"/>
      <c r="H88" s="37"/>
      <c r="I88" s="37"/>
      <c r="J88" s="37"/>
      <c r="K88" s="37" t="str">
        <f t="shared" si="14"/>
        <v/>
      </c>
      <c r="L88" s="38" t="str">
        <f t="shared" si="15"/>
        <v/>
      </c>
      <c r="M88" s="38" t="str">
        <f t="shared" si="16"/>
        <v/>
      </c>
      <c r="N88" s="33" t="str">
        <f t="shared" si="17"/>
        <v/>
      </c>
      <c r="O88" s="33" t="str">
        <f t="shared" si="18"/>
        <v/>
      </c>
      <c r="P88" s="34" t="str">
        <f t="shared" si="19"/>
        <v/>
      </c>
      <c r="Q88" s="35" t="str">
        <f t="shared" si="20"/>
        <v/>
      </c>
    </row>
    <row r="89" spans="1:17" s="26" customFormat="1" ht="21.75" customHeight="1">
      <c r="A89" s="33">
        <v>76</v>
      </c>
      <c r="B89" s="36"/>
      <c r="C89" s="37"/>
      <c r="D89" s="37"/>
      <c r="E89" s="37"/>
      <c r="F89" s="37"/>
      <c r="G89" s="37"/>
      <c r="H89" s="37"/>
      <c r="I89" s="37"/>
      <c r="J89" s="37"/>
      <c r="K89" s="37" t="str">
        <f t="shared" si="14"/>
        <v/>
      </c>
      <c r="L89" s="38" t="str">
        <f t="shared" si="15"/>
        <v/>
      </c>
      <c r="M89" s="38" t="str">
        <f t="shared" si="16"/>
        <v/>
      </c>
      <c r="N89" s="33" t="str">
        <f t="shared" si="17"/>
        <v/>
      </c>
      <c r="O89" s="33" t="str">
        <f t="shared" si="18"/>
        <v/>
      </c>
      <c r="P89" s="34" t="str">
        <f t="shared" si="19"/>
        <v/>
      </c>
      <c r="Q89" s="35" t="str">
        <f t="shared" si="20"/>
        <v/>
      </c>
    </row>
    <row r="90" spans="1:17" s="26" customFormat="1" ht="21.75" customHeight="1">
      <c r="A90" s="33">
        <v>77</v>
      </c>
      <c r="B90" s="36"/>
      <c r="C90" s="37"/>
      <c r="D90" s="37"/>
      <c r="E90" s="37"/>
      <c r="F90" s="37"/>
      <c r="G90" s="37"/>
      <c r="H90" s="37"/>
      <c r="I90" s="37"/>
      <c r="J90" s="37"/>
      <c r="K90" s="37" t="str">
        <f t="shared" si="14"/>
        <v/>
      </c>
      <c r="L90" s="38" t="str">
        <f t="shared" si="15"/>
        <v/>
      </c>
      <c r="M90" s="38" t="str">
        <f t="shared" si="16"/>
        <v/>
      </c>
      <c r="N90" s="33" t="str">
        <f t="shared" si="17"/>
        <v/>
      </c>
      <c r="O90" s="33" t="str">
        <f t="shared" si="18"/>
        <v/>
      </c>
      <c r="P90" s="34" t="str">
        <f t="shared" si="19"/>
        <v/>
      </c>
      <c r="Q90" s="35" t="str">
        <f t="shared" si="20"/>
        <v/>
      </c>
    </row>
    <row r="91" spans="1:17" s="26" customFormat="1" ht="21.75" customHeight="1">
      <c r="A91" s="33">
        <v>78</v>
      </c>
      <c r="B91" s="36"/>
      <c r="C91" s="37"/>
      <c r="D91" s="37"/>
      <c r="E91" s="37"/>
      <c r="F91" s="37"/>
      <c r="G91" s="37"/>
      <c r="H91" s="37"/>
      <c r="I91" s="37"/>
      <c r="J91" s="37"/>
      <c r="K91" s="37" t="str">
        <f t="shared" si="14"/>
        <v/>
      </c>
      <c r="L91" s="38" t="str">
        <f t="shared" si="15"/>
        <v/>
      </c>
      <c r="M91" s="38" t="str">
        <f t="shared" si="16"/>
        <v/>
      </c>
      <c r="N91" s="33" t="str">
        <f t="shared" si="17"/>
        <v/>
      </c>
      <c r="O91" s="33" t="str">
        <f t="shared" si="18"/>
        <v/>
      </c>
      <c r="P91" s="34" t="str">
        <f t="shared" si="19"/>
        <v/>
      </c>
      <c r="Q91" s="35" t="str">
        <f t="shared" si="20"/>
        <v/>
      </c>
    </row>
    <row r="92" spans="1:17" s="26" customFormat="1" ht="21.75" customHeight="1">
      <c r="A92" s="33">
        <v>79</v>
      </c>
      <c r="B92" s="36"/>
      <c r="C92" s="37"/>
      <c r="D92" s="37"/>
      <c r="E92" s="37"/>
      <c r="F92" s="37"/>
      <c r="G92" s="37"/>
      <c r="H92" s="37"/>
      <c r="I92" s="37"/>
      <c r="J92" s="37"/>
      <c r="K92" s="37" t="str">
        <f t="shared" si="14"/>
        <v/>
      </c>
      <c r="L92" s="38" t="str">
        <f t="shared" si="15"/>
        <v/>
      </c>
      <c r="M92" s="38" t="str">
        <f t="shared" si="16"/>
        <v/>
      </c>
      <c r="N92" s="33" t="str">
        <f t="shared" si="17"/>
        <v/>
      </c>
      <c r="O92" s="33" t="str">
        <f t="shared" si="18"/>
        <v/>
      </c>
      <c r="P92" s="34" t="str">
        <f t="shared" si="19"/>
        <v/>
      </c>
      <c r="Q92" s="35" t="str">
        <f t="shared" si="20"/>
        <v/>
      </c>
    </row>
    <row r="93" spans="1:17" s="26" customFormat="1" ht="21.75" customHeight="1">
      <c r="A93" s="33">
        <v>80</v>
      </c>
      <c r="B93" s="36"/>
      <c r="C93" s="37"/>
      <c r="D93" s="37"/>
      <c r="E93" s="37"/>
      <c r="F93" s="37"/>
      <c r="G93" s="37"/>
      <c r="H93" s="37"/>
      <c r="I93" s="37"/>
      <c r="J93" s="37"/>
      <c r="K93" s="37" t="str">
        <f t="shared" si="14"/>
        <v/>
      </c>
      <c r="L93" s="38" t="str">
        <f t="shared" si="15"/>
        <v/>
      </c>
      <c r="M93" s="38" t="str">
        <f t="shared" si="16"/>
        <v/>
      </c>
      <c r="N93" s="33" t="str">
        <f t="shared" si="17"/>
        <v/>
      </c>
      <c r="O93" s="33" t="str">
        <f t="shared" si="18"/>
        <v/>
      </c>
      <c r="P93" s="34" t="str">
        <f t="shared" si="19"/>
        <v/>
      </c>
      <c r="Q93" s="35" t="str">
        <f t="shared" si="20"/>
        <v/>
      </c>
    </row>
    <row r="94" spans="1:17" s="26" customFormat="1" ht="21.75" customHeight="1">
      <c r="A94" s="33">
        <v>81</v>
      </c>
      <c r="B94" s="36"/>
      <c r="C94" s="37"/>
      <c r="D94" s="37"/>
      <c r="E94" s="37"/>
      <c r="F94" s="37"/>
      <c r="G94" s="37"/>
      <c r="H94" s="37"/>
      <c r="I94" s="37"/>
      <c r="J94" s="37"/>
      <c r="K94" s="37" t="str">
        <f t="shared" si="14"/>
        <v/>
      </c>
      <c r="L94" s="38" t="str">
        <f t="shared" si="15"/>
        <v/>
      </c>
      <c r="M94" s="38" t="str">
        <f t="shared" si="16"/>
        <v/>
      </c>
      <c r="N94" s="33" t="str">
        <f t="shared" si="17"/>
        <v/>
      </c>
      <c r="O94" s="33" t="str">
        <f t="shared" si="18"/>
        <v/>
      </c>
      <c r="P94" s="34" t="str">
        <f t="shared" si="19"/>
        <v/>
      </c>
      <c r="Q94" s="35" t="str">
        <f t="shared" si="20"/>
        <v/>
      </c>
    </row>
    <row r="95" spans="1:17" s="26" customFormat="1" ht="21.75" customHeight="1">
      <c r="A95" s="33">
        <v>82</v>
      </c>
      <c r="B95" s="36"/>
      <c r="C95" s="37"/>
      <c r="D95" s="37"/>
      <c r="E95" s="37"/>
      <c r="F95" s="37"/>
      <c r="G95" s="37"/>
      <c r="H95" s="37"/>
      <c r="I95" s="37"/>
      <c r="J95" s="37"/>
      <c r="K95" s="37" t="str">
        <f t="shared" si="14"/>
        <v/>
      </c>
      <c r="L95" s="38" t="str">
        <f t="shared" si="15"/>
        <v/>
      </c>
      <c r="M95" s="38" t="str">
        <f t="shared" si="16"/>
        <v/>
      </c>
      <c r="N95" s="33" t="str">
        <f t="shared" si="17"/>
        <v/>
      </c>
      <c r="O95" s="33" t="str">
        <f t="shared" si="18"/>
        <v/>
      </c>
      <c r="P95" s="34" t="str">
        <f t="shared" si="19"/>
        <v/>
      </c>
      <c r="Q95" s="35" t="str">
        <f t="shared" si="20"/>
        <v/>
      </c>
    </row>
    <row r="96" spans="1:17" s="26" customFormat="1" ht="21.75" customHeight="1">
      <c r="A96" s="33">
        <v>83</v>
      </c>
      <c r="B96" s="36"/>
      <c r="C96" s="37"/>
      <c r="D96" s="37"/>
      <c r="E96" s="37"/>
      <c r="F96" s="37"/>
      <c r="G96" s="37"/>
      <c r="H96" s="37"/>
      <c r="I96" s="37"/>
      <c r="J96" s="37"/>
      <c r="K96" s="37" t="str">
        <f t="shared" si="14"/>
        <v/>
      </c>
      <c r="L96" s="38" t="str">
        <f t="shared" si="15"/>
        <v/>
      </c>
      <c r="M96" s="38" t="str">
        <f t="shared" si="16"/>
        <v/>
      </c>
      <c r="N96" s="33" t="str">
        <f t="shared" si="17"/>
        <v/>
      </c>
      <c r="O96" s="33" t="str">
        <f t="shared" si="18"/>
        <v/>
      </c>
      <c r="P96" s="34" t="str">
        <f t="shared" si="19"/>
        <v/>
      </c>
      <c r="Q96" s="35" t="str">
        <f t="shared" si="20"/>
        <v/>
      </c>
    </row>
    <row r="97" spans="1:17" s="26" customFormat="1" ht="21.75" customHeight="1">
      <c r="A97" s="33">
        <v>84</v>
      </c>
      <c r="B97" s="36"/>
      <c r="C97" s="37"/>
      <c r="D97" s="37"/>
      <c r="E97" s="37"/>
      <c r="F97" s="37"/>
      <c r="G97" s="37"/>
      <c r="H97" s="37"/>
      <c r="I97" s="37"/>
      <c r="J97" s="37"/>
      <c r="K97" s="37" t="str">
        <f t="shared" si="14"/>
        <v/>
      </c>
      <c r="L97" s="38" t="str">
        <f t="shared" si="15"/>
        <v/>
      </c>
      <c r="M97" s="38" t="str">
        <f t="shared" si="16"/>
        <v/>
      </c>
      <c r="N97" s="33" t="str">
        <f t="shared" si="17"/>
        <v/>
      </c>
      <c r="O97" s="33" t="str">
        <f t="shared" si="18"/>
        <v/>
      </c>
      <c r="P97" s="34" t="str">
        <f t="shared" si="19"/>
        <v/>
      </c>
      <c r="Q97" s="35" t="str">
        <f t="shared" si="20"/>
        <v/>
      </c>
    </row>
    <row r="98" spans="1:17" s="26" customFormat="1" ht="21.75" customHeight="1">
      <c r="A98" s="33">
        <v>85</v>
      </c>
      <c r="B98" s="36"/>
      <c r="C98" s="37"/>
      <c r="D98" s="37"/>
      <c r="E98" s="37"/>
      <c r="F98" s="37"/>
      <c r="G98" s="37"/>
      <c r="H98" s="37"/>
      <c r="I98" s="37"/>
      <c r="J98" s="37"/>
      <c r="K98" s="37" t="str">
        <f t="shared" si="14"/>
        <v/>
      </c>
      <c r="L98" s="38" t="str">
        <f t="shared" si="15"/>
        <v/>
      </c>
      <c r="M98" s="38" t="str">
        <f t="shared" si="16"/>
        <v/>
      </c>
      <c r="N98" s="33" t="str">
        <f t="shared" si="17"/>
        <v/>
      </c>
      <c r="O98" s="33" t="str">
        <f t="shared" si="18"/>
        <v/>
      </c>
      <c r="P98" s="34" t="str">
        <f t="shared" si="19"/>
        <v/>
      </c>
      <c r="Q98" s="35" t="str">
        <f t="shared" si="20"/>
        <v/>
      </c>
    </row>
    <row r="99" spans="1:17" s="26" customFormat="1" ht="21.75" customHeight="1">
      <c r="A99" s="33">
        <v>86</v>
      </c>
      <c r="B99" s="36"/>
      <c r="C99" s="37"/>
      <c r="D99" s="37"/>
      <c r="E99" s="37"/>
      <c r="F99" s="37"/>
      <c r="G99" s="37"/>
      <c r="H99" s="37"/>
      <c r="I99" s="37"/>
      <c r="J99" s="37"/>
      <c r="K99" s="37" t="str">
        <f t="shared" si="14"/>
        <v/>
      </c>
      <c r="L99" s="38" t="str">
        <f t="shared" si="15"/>
        <v/>
      </c>
      <c r="M99" s="38" t="str">
        <f t="shared" si="16"/>
        <v/>
      </c>
      <c r="N99" s="33" t="str">
        <f t="shared" si="17"/>
        <v/>
      </c>
      <c r="O99" s="33" t="str">
        <f t="shared" si="18"/>
        <v/>
      </c>
      <c r="P99" s="34" t="str">
        <f t="shared" si="19"/>
        <v/>
      </c>
      <c r="Q99" s="35" t="str">
        <f t="shared" si="20"/>
        <v/>
      </c>
    </row>
    <row r="100" spans="1:17" s="26" customFormat="1" ht="21.75" customHeight="1">
      <c r="A100" s="33">
        <v>87</v>
      </c>
      <c r="B100" s="36"/>
      <c r="C100" s="37"/>
      <c r="D100" s="37"/>
      <c r="E100" s="37"/>
      <c r="F100" s="37"/>
      <c r="G100" s="37"/>
      <c r="H100" s="37"/>
      <c r="I100" s="37"/>
      <c r="J100" s="37"/>
      <c r="K100" s="37" t="str">
        <f t="shared" si="14"/>
        <v/>
      </c>
      <c r="L100" s="38" t="str">
        <f t="shared" si="15"/>
        <v/>
      </c>
      <c r="M100" s="38" t="str">
        <f t="shared" si="16"/>
        <v/>
      </c>
      <c r="N100" s="33" t="str">
        <f t="shared" si="17"/>
        <v/>
      </c>
      <c r="O100" s="33" t="str">
        <f t="shared" si="18"/>
        <v/>
      </c>
      <c r="P100" s="34" t="str">
        <f t="shared" si="19"/>
        <v/>
      </c>
      <c r="Q100" s="35" t="str">
        <f t="shared" si="20"/>
        <v/>
      </c>
    </row>
    <row r="101" spans="1:17" s="26" customFormat="1" ht="21.75" customHeight="1">
      <c r="A101" s="33">
        <v>88</v>
      </c>
      <c r="B101" s="36"/>
      <c r="C101" s="37"/>
      <c r="D101" s="37"/>
      <c r="E101" s="37"/>
      <c r="F101" s="37"/>
      <c r="G101" s="37"/>
      <c r="H101" s="37"/>
      <c r="I101" s="37"/>
      <c r="J101" s="37"/>
      <c r="K101" s="37" t="str">
        <f t="shared" si="14"/>
        <v/>
      </c>
      <c r="L101" s="38" t="str">
        <f t="shared" si="15"/>
        <v/>
      </c>
      <c r="M101" s="38" t="str">
        <f t="shared" si="16"/>
        <v/>
      </c>
      <c r="N101" s="33" t="str">
        <f t="shared" si="17"/>
        <v/>
      </c>
      <c r="O101" s="33" t="str">
        <f t="shared" si="18"/>
        <v/>
      </c>
      <c r="P101" s="34" t="str">
        <f t="shared" si="19"/>
        <v/>
      </c>
      <c r="Q101" s="35" t="str">
        <f t="shared" si="20"/>
        <v/>
      </c>
    </row>
    <row r="102" spans="1:17" s="26" customFormat="1" ht="21.75" customHeight="1">
      <c r="A102" s="33">
        <v>89</v>
      </c>
      <c r="B102" s="36"/>
      <c r="C102" s="37"/>
      <c r="D102" s="37"/>
      <c r="E102" s="37"/>
      <c r="F102" s="37"/>
      <c r="G102" s="37"/>
      <c r="H102" s="37"/>
      <c r="I102" s="37"/>
      <c r="J102" s="37"/>
      <c r="K102" s="37" t="str">
        <f t="shared" si="14"/>
        <v/>
      </c>
      <c r="L102" s="38" t="str">
        <f t="shared" si="15"/>
        <v/>
      </c>
      <c r="M102" s="38" t="str">
        <f t="shared" si="16"/>
        <v/>
      </c>
      <c r="N102" s="33" t="str">
        <f t="shared" si="17"/>
        <v/>
      </c>
      <c r="O102" s="33" t="str">
        <f t="shared" si="18"/>
        <v/>
      </c>
      <c r="P102" s="34" t="str">
        <f t="shared" si="19"/>
        <v/>
      </c>
      <c r="Q102" s="35" t="str">
        <f t="shared" si="20"/>
        <v/>
      </c>
    </row>
    <row r="103" spans="1:17" s="26" customFormat="1" ht="21.75" customHeight="1">
      <c r="A103" s="33">
        <v>90</v>
      </c>
      <c r="B103" s="36"/>
      <c r="C103" s="37"/>
      <c r="D103" s="37"/>
      <c r="E103" s="37"/>
      <c r="F103" s="37"/>
      <c r="G103" s="37"/>
      <c r="H103" s="37"/>
      <c r="I103" s="37"/>
      <c r="J103" s="37"/>
      <c r="K103" s="37" t="str">
        <f t="shared" si="14"/>
        <v/>
      </c>
      <c r="L103" s="38" t="str">
        <f t="shared" si="15"/>
        <v/>
      </c>
      <c r="M103" s="38" t="str">
        <f t="shared" si="16"/>
        <v/>
      </c>
      <c r="N103" s="33" t="str">
        <f t="shared" si="17"/>
        <v/>
      </c>
      <c r="O103" s="33" t="str">
        <f t="shared" si="18"/>
        <v/>
      </c>
      <c r="P103" s="34" t="str">
        <f t="shared" si="19"/>
        <v/>
      </c>
      <c r="Q103" s="35" t="str">
        <f t="shared" si="20"/>
        <v/>
      </c>
    </row>
    <row r="104" spans="1:17" s="26" customFormat="1" ht="21.75" customHeight="1">
      <c r="A104" s="33">
        <v>91</v>
      </c>
      <c r="B104" s="36"/>
      <c r="C104" s="37"/>
      <c r="D104" s="37"/>
      <c r="E104" s="37"/>
      <c r="F104" s="37"/>
      <c r="G104" s="37"/>
      <c r="H104" s="37"/>
      <c r="I104" s="37"/>
      <c r="J104" s="37"/>
      <c r="K104" s="37" t="str">
        <f t="shared" si="14"/>
        <v/>
      </c>
      <c r="L104" s="38" t="str">
        <f t="shared" si="15"/>
        <v/>
      </c>
      <c r="M104" s="38" t="str">
        <f t="shared" si="16"/>
        <v/>
      </c>
      <c r="N104" s="33" t="str">
        <f t="shared" si="17"/>
        <v/>
      </c>
      <c r="O104" s="33" t="str">
        <f t="shared" si="18"/>
        <v/>
      </c>
      <c r="P104" s="34" t="str">
        <f t="shared" si="19"/>
        <v/>
      </c>
      <c r="Q104" s="35" t="str">
        <f t="shared" si="20"/>
        <v/>
      </c>
    </row>
    <row r="105" spans="1:17" s="26" customFormat="1" ht="21.75" customHeight="1">
      <c r="A105" s="33">
        <v>92</v>
      </c>
      <c r="B105" s="36"/>
      <c r="C105" s="37"/>
      <c r="D105" s="37"/>
      <c r="E105" s="37"/>
      <c r="F105" s="37"/>
      <c r="G105" s="37"/>
      <c r="H105" s="37"/>
      <c r="I105" s="37"/>
      <c r="J105" s="37"/>
      <c r="K105" s="37" t="str">
        <f t="shared" si="14"/>
        <v/>
      </c>
      <c r="L105" s="38" t="str">
        <f t="shared" si="15"/>
        <v/>
      </c>
      <c r="M105" s="38" t="str">
        <f t="shared" si="16"/>
        <v/>
      </c>
      <c r="N105" s="33" t="str">
        <f t="shared" si="17"/>
        <v/>
      </c>
      <c r="O105" s="33" t="str">
        <f t="shared" si="18"/>
        <v/>
      </c>
      <c r="P105" s="34" t="str">
        <f t="shared" si="19"/>
        <v/>
      </c>
      <c r="Q105" s="35" t="str">
        <f t="shared" si="20"/>
        <v/>
      </c>
    </row>
    <row r="106" spans="1:17" s="26" customFormat="1" ht="21.75" customHeight="1">
      <c r="A106" s="33">
        <v>93</v>
      </c>
      <c r="B106" s="36"/>
      <c r="C106" s="37"/>
      <c r="D106" s="37"/>
      <c r="E106" s="37"/>
      <c r="F106" s="37"/>
      <c r="G106" s="37"/>
      <c r="H106" s="37"/>
      <c r="I106" s="37"/>
      <c r="J106" s="37"/>
      <c r="K106" s="37" t="str">
        <f t="shared" si="14"/>
        <v/>
      </c>
      <c r="L106" s="38" t="str">
        <f t="shared" si="15"/>
        <v/>
      </c>
      <c r="M106" s="38" t="str">
        <f t="shared" si="16"/>
        <v/>
      </c>
      <c r="N106" s="33" t="str">
        <f t="shared" si="17"/>
        <v/>
      </c>
      <c r="O106" s="33" t="str">
        <f t="shared" si="18"/>
        <v/>
      </c>
      <c r="P106" s="34" t="str">
        <f t="shared" si="19"/>
        <v/>
      </c>
      <c r="Q106" s="35" t="str">
        <f t="shared" si="20"/>
        <v/>
      </c>
    </row>
    <row r="107" spans="1:17" s="26" customFormat="1" ht="21.75" customHeight="1">
      <c r="A107" s="33">
        <v>94</v>
      </c>
      <c r="B107" s="36"/>
      <c r="C107" s="37"/>
      <c r="D107" s="37"/>
      <c r="E107" s="37"/>
      <c r="F107" s="37"/>
      <c r="G107" s="37"/>
      <c r="H107" s="37"/>
      <c r="I107" s="37"/>
      <c r="J107" s="37"/>
      <c r="K107" s="37" t="str">
        <f t="shared" si="14"/>
        <v/>
      </c>
      <c r="L107" s="38" t="str">
        <f t="shared" si="15"/>
        <v/>
      </c>
      <c r="M107" s="38" t="str">
        <f t="shared" si="16"/>
        <v/>
      </c>
      <c r="N107" s="33" t="str">
        <f t="shared" si="17"/>
        <v/>
      </c>
      <c r="O107" s="33" t="str">
        <f t="shared" si="18"/>
        <v/>
      </c>
      <c r="P107" s="34" t="str">
        <f t="shared" si="19"/>
        <v/>
      </c>
      <c r="Q107" s="35" t="str">
        <f t="shared" si="20"/>
        <v/>
      </c>
    </row>
    <row r="108" spans="1:17" s="26" customFormat="1" ht="21.75" customHeight="1">
      <c r="A108" s="33">
        <v>95</v>
      </c>
      <c r="B108" s="36"/>
      <c r="C108" s="37"/>
      <c r="D108" s="37"/>
      <c r="E108" s="37"/>
      <c r="F108" s="37"/>
      <c r="G108" s="37"/>
      <c r="H108" s="37"/>
      <c r="I108" s="37"/>
      <c r="J108" s="37"/>
      <c r="K108" s="37" t="str">
        <f t="shared" si="14"/>
        <v/>
      </c>
      <c r="L108" s="38" t="str">
        <f t="shared" si="15"/>
        <v/>
      </c>
      <c r="M108" s="38" t="str">
        <f t="shared" si="16"/>
        <v/>
      </c>
      <c r="N108" s="33" t="str">
        <f t="shared" si="17"/>
        <v/>
      </c>
      <c r="O108" s="33" t="str">
        <f t="shared" si="18"/>
        <v/>
      </c>
      <c r="P108" s="34" t="str">
        <f t="shared" si="19"/>
        <v/>
      </c>
      <c r="Q108" s="35" t="str">
        <f t="shared" si="20"/>
        <v/>
      </c>
    </row>
    <row r="109" spans="1:17" s="26" customFormat="1" ht="21.75" customHeight="1">
      <c r="A109" s="33">
        <v>96</v>
      </c>
      <c r="B109" s="36"/>
      <c r="C109" s="37"/>
      <c r="D109" s="37"/>
      <c r="E109" s="37"/>
      <c r="F109" s="37"/>
      <c r="G109" s="37"/>
      <c r="H109" s="37"/>
      <c r="I109" s="37"/>
      <c r="J109" s="37"/>
      <c r="K109" s="37" t="str">
        <f t="shared" si="14"/>
        <v/>
      </c>
      <c r="L109" s="38" t="str">
        <f t="shared" si="15"/>
        <v/>
      </c>
      <c r="M109" s="38" t="str">
        <f t="shared" si="16"/>
        <v/>
      </c>
      <c r="N109" s="33" t="str">
        <f t="shared" si="17"/>
        <v/>
      </c>
      <c r="O109" s="33" t="str">
        <f t="shared" si="18"/>
        <v/>
      </c>
      <c r="P109" s="34" t="str">
        <f t="shared" si="19"/>
        <v/>
      </c>
      <c r="Q109" s="35" t="str">
        <f t="shared" si="20"/>
        <v/>
      </c>
    </row>
    <row r="110" spans="1:17" s="26" customFormat="1" ht="21.75" customHeight="1">
      <c r="A110" s="33">
        <v>97</v>
      </c>
      <c r="B110" s="36"/>
      <c r="C110" s="37"/>
      <c r="D110" s="37"/>
      <c r="E110" s="37"/>
      <c r="F110" s="37"/>
      <c r="G110" s="37"/>
      <c r="H110" s="37"/>
      <c r="I110" s="37"/>
      <c r="J110" s="37"/>
      <c r="K110" s="37" t="str">
        <f t="shared" si="14"/>
        <v/>
      </c>
      <c r="L110" s="38" t="str">
        <f t="shared" si="15"/>
        <v/>
      </c>
      <c r="M110" s="38" t="str">
        <f t="shared" si="16"/>
        <v/>
      </c>
      <c r="N110" s="33" t="str">
        <f t="shared" si="17"/>
        <v/>
      </c>
      <c r="O110" s="33" t="str">
        <f t="shared" si="18"/>
        <v/>
      </c>
      <c r="P110" s="34" t="str">
        <f t="shared" si="19"/>
        <v/>
      </c>
      <c r="Q110" s="35" t="str">
        <f t="shared" si="20"/>
        <v/>
      </c>
    </row>
    <row r="111" spans="1:17" s="26" customFormat="1" ht="21.75" customHeight="1">
      <c r="A111" s="33">
        <v>98</v>
      </c>
      <c r="B111" s="36"/>
      <c r="C111" s="37"/>
      <c r="D111" s="37"/>
      <c r="E111" s="37"/>
      <c r="F111" s="37"/>
      <c r="G111" s="37"/>
      <c r="H111" s="37"/>
      <c r="I111" s="37"/>
      <c r="J111" s="37"/>
      <c r="K111" s="37" t="str">
        <f t="shared" si="14"/>
        <v/>
      </c>
      <c r="L111" s="38" t="str">
        <f t="shared" si="15"/>
        <v/>
      </c>
      <c r="M111" s="38" t="str">
        <f t="shared" si="16"/>
        <v/>
      </c>
      <c r="N111" s="33" t="str">
        <f t="shared" si="17"/>
        <v/>
      </c>
      <c r="O111" s="33" t="str">
        <f t="shared" si="18"/>
        <v/>
      </c>
      <c r="P111" s="34" t="str">
        <f t="shared" si="19"/>
        <v/>
      </c>
      <c r="Q111" s="35" t="str">
        <f t="shared" si="20"/>
        <v/>
      </c>
    </row>
    <row r="112" spans="1:17" s="26" customFormat="1" ht="21.75" customHeight="1">
      <c r="A112" s="33">
        <v>99</v>
      </c>
      <c r="B112" s="36"/>
      <c r="C112" s="37"/>
      <c r="D112" s="37"/>
      <c r="E112" s="37"/>
      <c r="F112" s="37"/>
      <c r="G112" s="37"/>
      <c r="H112" s="37"/>
      <c r="I112" s="37"/>
      <c r="J112" s="37"/>
      <c r="K112" s="37" t="str">
        <f t="shared" si="14"/>
        <v/>
      </c>
      <c r="L112" s="38" t="str">
        <f t="shared" si="15"/>
        <v/>
      </c>
      <c r="M112" s="38" t="str">
        <f t="shared" si="16"/>
        <v/>
      </c>
      <c r="N112" s="33" t="str">
        <f t="shared" si="17"/>
        <v/>
      </c>
      <c r="O112" s="33" t="str">
        <f t="shared" si="18"/>
        <v/>
      </c>
      <c r="P112" s="34" t="str">
        <f t="shared" si="19"/>
        <v/>
      </c>
      <c r="Q112" s="35" t="str">
        <f t="shared" si="20"/>
        <v/>
      </c>
    </row>
    <row r="113" spans="1:17" s="26" customFormat="1" ht="21.75" customHeight="1">
      <c r="A113" s="33">
        <v>100</v>
      </c>
      <c r="B113" s="36"/>
      <c r="C113" s="37"/>
      <c r="D113" s="37"/>
      <c r="E113" s="37"/>
      <c r="F113" s="37"/>
      <c r="G113" s="37"/>
      <c r="H113" s="37"/>
      <c r="I113" s="37"/>
      <c r="J113" s="37"/>
      <c r="K113" s="37" t="str">
        <f t="shared" si="14"/>
        <v/>
      </c>
      <c r="L113" s="38" t="str">
        <f t="shared" si="15"/>
        <v/>
      </c>
      <c r="M113" s="38" t="str">
        <f t="shared" si="16"/>
        <v/>
      </c>
      <c r="N113" s="33" t="str">
        <f t="shared" si="17"/>
        <v/>
      </c>
      <c r="O113" s="33" t="str">
        <f t="shared" si="18"/>
        <v/>
      </c>
      <c r="P113" s="34" t="str">
        <f t="shared" si="19"/>
        <v/>
      </c>
      <c r="Q113" s="35" t="str">
        <f t="shared" si="20"/>
        <v/>
      </c>
    </row>
    <row r="114" spans="1:17" s="26" customFormat="1" ht="1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</row>
    <row r="115" spans="1:17" s="26" customFormat="1" ht="1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  <row r="116" spans="1:17" s="26" customFormat="1" ht="15" customHeight="1">
      <c r="A116" s="117" t="s">
        <v>58</v>
      </c>
      <c r="B116" s="117"/>
      <c r="C116" s="117"/>
      <c r="D116" s="117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</row>
    <row r="117" spans="1:17" s="26" customFormat="1" ht="15" customHeight="1">
      <c r="A117" s="40" t="s">
        <v>3</v>
      </c>
      <c r="B117" s="40" t="s">
        <v>4</v>
      </c>
      <c r="C117" s="40">
        <v>5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</row>
    <row r="118" spans="1:17" s="26" customFormat="1" ht="15" customHeight="1">
      <c r="A118" s="40" t="s">
        <v>6</v>
      </c>
      <c r="B118" s="40" t="s">
        <v>7</v>
      </c>
      <c r="C118" s="40">
        <v>4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</row>
    <row r="119" spans="1:17" s="26" customFormat="1" ht="15" customHeight="1">
      <c r="A119" s="40" t="s">
        <v>59</v>
      </c>
      <c r="B119" s="40" t="s">
        <v>9</v>
      </c>
      <c r="C119" s="40">
        <v>3.5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</row>
    <row r="120" spans="1:17" s="26" customFormat="1" ht="15" customHeight="1">
      <c r="A120" s="40" t="s">
        <v>60</v>
      </c>
      <c r="B120" s="40" t="s">
        <v>11</v>
      </c>
      <c r="C120" s="40">
        <v>3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</row>
    <row r="121" spans="1:17" s="26" customFormat="1" ht="15" customHeight="1">
      <c r="A121" s="40" t="s">
        <v>61</v>
      </c>
      <c r="B121" s="40" t="s">
        <v>13</v>
      </c>
      <c r="C121" s="40">
        <v>2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</row>
    <row r="122" spans="1:17" s="26" customFormat="1" ht="15" customHeight="1">
      <c r="A122" s="40" t="s">
        <v>62</v>
      </c>
      <c r="B122" s="40" t="s">
        <v>15</v>
      </c>
      <c r="C122" s="40">
        <v>1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</row>
    <row r="123" spans="1:17" s="26" customFormat="1" ht="15" customHeight="1">
      <c r="A123" s="40" t="s">
        <v>17</v>
      </c>
      <c r="B123" s="40" t="s">
        <v>18</v>
      </c>
      <c r="C123" s="40">
        <v>0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</row>
    <row r="124" spans="1:17" s="26" customFormat="1" ht="15" customHeight="1">
      <c r="A124" s="118" t="s">
        <v>63</v>
      </c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39"/>
      <c r="Q124" s="39"/>
    </row>
    <row r="125" spans="1:17" s="26" customFormat="1" ht="1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</row>
  </sheetData>
  <mergeCells count="9">
    <mergeCell ref="A116:D116"/>
    <mergeCell ref="A124:O124"/>
    <mergeCell ref="M1:O1"/>
    <mergeCell ref="M4:O4"/>
    <mergeCell ref="C6:L7"/>
    <mergeCell ref="A10:B11"/>
    <mergeCell ref="D10:F11"/>
    <mergeCell ref="G10:G11"/>
    <mergeCell ref="H10:K11"/>
  </mergeCells>
  <conditionalFormatting sqref="M14:M37">
    <cfRule type="cellIs" dxfId="18" priority="2" operator="equal">
      <formula>"ফেল"</formula>
    </cfRule>
  </conditionalFormatting>
  <conditionalFormatting sqref="N38:N113">
    <cfRule type="cellIs" dxfId="17" priority="3" operator="equal">
      <formula>"ফেল"</formula>
    </cfRule>
  </conditionalFormatting>
  <pageMargins left="0.15" right="0.15" top="0.25" bottom="0.15" header="0.511811023622047" footer="0.511811023622047"/>
  <pageSetup paperSize="9" scale="80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abSelected="1" topLeftCell="A3" zoomScale="85" zoomScaleNormal="85" workbookViewId="0">
      <selection activeCell="G14" sqref="G14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3" width="12.28515625" style="1" customWidth="1"/>
    <col min="4" max="9" width="10.28515625" style="1" customWidth="1"/>
    <col min="10" max="10" width="11.42578125" style="1" customWidth="1"/>
    <col min="11" max="11" width="10.28515625" style="1" customWidth="1"/>
    <col min="12" max="12" width="10.85546875" style="1" customWidth="1"/>
    <col min="13" max="13" width="12.5703125" style="1" customWidth="1"/>
    <col min="14" max="14" width="12.140625" style="1" customWidth="1"/>
    <col min="15" max="15" width="10.28515625" style="1" customWidth="1"/>
    <col min="16" max="16" width="10.140625" style="1" customWidth="1"/>
    <col min="17" max="17" width="10" style="1" hidden="1" customWidth="1"/>
    <col min="18" max="18" width="13" style="1" hidden="1" customWidth="1"/>
  </cols>
  <sheetData>
    <row r="1" spans="1:21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19"/>
      <c r="O1" s="119"/>
      <c r="P1" s="119"/>
    </row>
    <row r="2" spans="1:21" ht="8.25" hidden="1" customHeight="1">
      <c r="A2" s="2"/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5"/>
    </row>
    <row r="3" spans="1:21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/>
      <c r="O3" s="4"/>
      <c r="P3" s="4"/>
    </row>
    <row r="4" spans="1:21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20" t="s">
        <v>2</v>
      </c>
      <c r="O4" s="120"/>
      <c r="P4" s="120"/>
    </row>
    <row r="5" spans="1:21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 t="s">
        <v>3</v>
      </c>
      <c r="O5" s="6" t="s">
        <v>4</v>
      </c>
      <c r="P5" s="6">
        <v>5</v>
      </c>
    </row>
    <row r="6" spans="1:21" ht="21" customHeight="1">
      <c r="A6" s="2"/>
      <c r="B6" s="2"/>
      <c r="C6" s="217" t="s">
        <v>203</v>
      </c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8" t="s">
        <v>6</v>
      </c>
      <c r="O6" s="9" t="s">
        <v>7</v>
      </c>
      <c r="P6" s="10">
        <v>4</v>
      </c>
    </row>
    <row r="7" spans="1:21" ht="21" customHeight="1">
      <c r="A7" s="2"/>
      <c r="B7" s="2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1" t="s">
        <v>8</v>
      </c>
      <c r="O7" s="6" t="s">
        <v>9</v>
      </c>
      <c r="P7" s="12">
        <v>3.5</v>
      </c>
    </row>
    <row r="8" spans="1:21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1" t="s">
        <v>10</v>
      </c>
      <c r="O8" s="6" t="s">
        <v>11</v>
      </c>
      <c r="P8" s="12">
        <v>3</v>
      </c>
    </row>
    <row r="9" spans="1:21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1" t="s">
        <v>12</v>
      </c>
      <c r="O9" s="6" t="s">
        <v>13</v>
      </c>
      <c r="P9" s="12">
        <v>2</v>
      </c>
    </row>
    <row r="10" spans="1:21" ht="21" customHeight="1">
      <c r="A10" s="122"/>
      <c r="B10" s="122"/>
      <c r="C10" s="13"/>
      <c r="D10" s="123"/>
      <c r="E10" s="123"/>
      <c r="F10" s="123"/>
      <c r="G10" s="124"/>
      <c r="H10" s="125"/>
      <c r="I10" s="125"/>
      <c r="J10" s="125"/>
      <c r="K10" s="125"/>
      <c r="L10" s="125"/>
      <c r="M10" s="14"/>
      <c r="N10" s="11" t="s">
        <v>14</v>
      </c>
      <c r="O10" s="6" t="s">
        <v>15</v>
      </c>
      <c r="P10" s="12">
        <v>1</v>
      </c>
      <c r="S10" t="s">
        <v>16</v>
      </c>
    </row>
    <row r="11" spans="1:21" ht="21" customHeight="1">
      <c r="A11" s="122"/>
      <c r="B11" s="122"/>
      <c r="C11" s="13"/>
      <c r="D11" s="123"/>
      <c r="E11" s="123"/>
      <c r="F11" s="123"/>
      <c r="G11" s="124"/>
      <c r="H11" s="125"/>
      <c r="I11" s="125"/>
      <c r="J11" s="125"/>
      <c r="K11" s="125"/>
      <c r="L11" s="125"/>
      <c r="M11" s="14"/>
      <c r="N11" s="15" t="s">
        <v>17</v>
      </c>
      <c r="O11" s="16" t="s">
        <v>18</v>
      </c>
      <c r="P11" s="17">
        <v>0</v>
      </c>
    </row>
    <row r="12" spans="1:21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21" s="19" customFormat="1" ht="60.75" customHeight="1">
      <c r="A13" s="139" t="s">
        <v>19</v>
      </c>
      <c r="B13" s="140" t="s">
        <v>20</v>
      </c>
      <c r="C13" s="141" t="s">
        <v>65</v>
      </c>
      <c r="D13" s="142" t="s">
        <v>22</v>
      </c>
      <c r="E13" s="141" t="s">
        <v>23</v>
      </c>
      <c r="F13" s="142" t="s">
        <v>24</v>
      </c>
      <c r="G13" s="141" t="s">
        <v>25</v>
      </c>
      <c r="H13" s="142" t="s">
        <v>66</v>
      </c>
      <c r="I13" s="141" t="s">
        <v>67</v>
      </c>
      <c r="J13" s="142" t="s">
        <v>27</v>
      </c>
      <c r="K13" s="219" t="s">
        <v>68</v>
      </c>
      <c r="L13" s="142" t="s">
        <v>29</v>
      </c>
      <c r="M13" s="141" t="s">
        <v>30</v>
      </c>
      <c r="N13" s="142" t="s">
        <v>31</v>
      </c>
      <c r="O13" s="141" t="s">
        <v>32</v>
      </c>
      <c r="P13" s="143" t="s">
        <v>33</v>
      </c>
      <c r="Q13" s="41"/>
      <c r="R13" s="41"/>
      <c r="S13" s="41"/>
    </row>
    <row r="14" spans="1:21" ht="30" customHeight="1">
      <c r="A14" s="144">
        <v>1</v>
      </c>
      <c r="B14" s="138" t="s">
        <v>69</v>
      </c>
      <c r="C14" s="145">
        <v>98</v>
      </c>
      <c r="D14" s="146">
        <v>98</v>
      </c>
      <c r="E14" s="146">
        <v>98</v>
      </c>
      <c r="F14" s="146">
        <v>99</v>
      </c>
      <c r="G14" s="146">
        <v>70</v>
      </c>
      <c r="H14" s="146">
        <v>98</v>
      </c>
      <c r="I14" s="146">
        <v>100</v>
      </c>
      <c r="J14" s="146">
        <v>98</v>
      </c>
      <c r="K14" s="146">
        <v>100</v>
      </c>
      <c r="L14" s="146">
        <f t="shared" ref="L14:L45" si="0">IF($B14="","",IF(COUNT(C14:K14)=0,"",SUM(C14:K14)))</f>
        <v>859</v>
      </c>
      <c r="M14" s="147">
        <f t="shared" ref="M14:M45" si="1">IF($B14="","",IF(COUNT(C14:K14)=0,"",ROUND(SUM(C14:K14)/COLUMNS(C14:K14),2)))</f>
        <v>95.44</v>
      </c>
      <c r="N14" s="21">
        <f t="shared" ref="N14:N45" si="2">IF($B14="","",IF(COUNT(C14:K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+IF(ISNUMBER(K14),IF(K14&gt;=80,5,IF(K14&gt;=70,4,IF(K14&gt;=60,3.5,IF(K14&gt;=50,3,IF(K14&gt;=40,2,IF(K14&gt;=33,1,0)))))),0))/COLUMNS(C14:K14),2)))</f>
        <v>4.8899999999999997</v>
      </c>
      <c r="O14" s="22" t="str">
        <f t="shared" ref="O14:O45" si="3">IF($B14="","",IF(N14="","",IF(N14=0,"Fail",IF(N14=5,"A+",IF(N14&gt;=4,"A",IF(N14&gt;=3.5,"A-",IF(N14&gt;=3,"B",IF(N14&gt;=2,"C",IF(N14&gt;=1,"D","F")))))))))</f>
        <v>A</v>
      </c>
      <c r="P14" s="148" t="str">
        <f t="shared" ref="P14:P45" si="4">IF($B14="","",IF($Q14="","",IF($Q14=1,"1g",IF($Q14=2,"2q",IF($Q14=3,"3q",$Q14)))))</f>
        <v>2q</v>
      </c>
      <c r="Q14" s="42">
        <f t="shared" ref="Q14:Q45" si="5">IF($B14="","",IF(OR($O14="ফেল",$O14="অনুপস্থিত",$O14="অসম্পূর্ণ"),"",1+SUMPRODUCT(($R$14:$R$63&lt;&gt;"")*($R$14:$R$63&gt;R14)/COUNTIF($R$14:$R$63,$R$14:$R$63))))</f>
        <v>2</v>
      </c>
      <c r="R14" s="43">
        <f t="shared" ref="R14:R45" si="6">IF($B14="","",M14)</f>
        <v>95.44</v>
      </c>
      <c r="S14" s="44"/>
    </row>
    <row r="15" spans="1:21" ht="30" customHeight="1">
      <c r="A15" s="144">
        <v>2</v>
      </c>
      <c r="B15" s="138" t="s">
        <v>70</v>
      </c>
      <c r="C15" s="145">
        <v>94</v>
      </c>
      <c r="D15" s="146">
        <v>95</v>
      </c>
      <c r="E15" s="146">
        <v>97</v>
      </c>
      <c r="F15" s="146">
        <v>97</v>
      </c>
      <c r="G15" s="146">
        <v>94</v>
      </c>
      <c r="H15" s="146">
        <v>97</v>
      </c>
      <c r="I15" s="146">
        <v>100</v>
      </c>
      <c r="J15" s="146">
        <v>100</v>
      </c>
      <c r="K15" s="146">
        <v>98</v>
      </c>
      <c r="L15" s="146">
        <f t="shared" si="0"/>
        <v>872</v>
      </c>
      <c r="M15" s="147">
        <f t="shared" si="1"/>
        <v>96.89</v>
      </c>
      <c r="N15" s="21">
        <f t="shared" si="2"/>
        <v>5</v>
      </c>
      <c r="O15" s="22" t="str">
        <f t="shared" si="3"/>
        <v>A+</v>
      </c>
      <c r="P15" s="148" t="str">
        <f t="shared" si="4"/>
        <v>1g</v>
      </c>
      <c r="Q15" s="42">
        <f t="shared" si="5"/>
        <v>1</v>
      </c>
      <c r="R15" s="43">
        <f t="shared" si="6"/>
        <v>96.89</v>
      </c>
      <c r="S15" s="44"/>
    </row>
    <row r="16" spans="1:21" ht="30" customHeight="1">
      <c r="A16" s="144">
        <v>3</v>
      </c>
      <c r="B16" s="138" t="s">
        <v>71</v>
      </c>
      <c r="C16" s="145">
        <v>99</v>
      </c>
      <c r="D16" s="146">
        <v>90</v>
      </c>
      <c r="E16" s="146">
        <v>95</v>
      </c>
      <c r="F16" s="146">
        <v>90</v>
      </c>
      <c r="G16" s="146">
        <v>85</v>
      </c>
      <c r="H16" s="149">
        <v>95</v>
      </c>
      <c r="I16" s="149">
        <v>100</v>
      </c>
      <c r="J16" s="149">
        <v>100</v>
      </c>
      <c r="K16" s="146">
        <v>95</v>
      </c>
      <c r="L16" s="146">
        <f t="shared" si="0"/>
        <v>849</v>
      </c>
      <c r="M16" s="147">
        <f t="shared" si="1"/>
        <v>94.33</v>
      </c>
      <c r="N16" s="21">
        <f t="shared" si="2"/>
        <v>5</v>
      </c>
      <c r="O16" s="22" t="str">
        <f t="shared" si="3"/>
        <v>A+</v>
      </c>
      <c r="P16" s="148" t="str">
        <f t="shared" si="4"/>
        <v>3q</v>
      </c>
      <c r="Q16" s="42">
        <f t="shared" si="5"/>
        <v>3</v>
      </c>
      <c r="R16" s="43">
        <f t="shared" si="6"/>
        <v>94.33</v>
      </c>
      <c r="S16" s="44"/>
      <c r="U16" s="26"/>
    </row>
    <row r="17" spans="1:19" ht="30" customHeight="1">
      <c r="A17" s="144">
        <v>4</v>
      </c>
      <c r="B17" s="138" t="s">
        <v>72</v>
      </c>
      <c r="C17" s="145">
        <v>90</v>
      </c>
      <c r="D17" s="146">
        <v>97</v>
      </c>
      <c r="E17" s="146">
        <v>98</v>
      </c>
      <c r="F17" s="146">
        <v>100</v>
      </c>
      <c r="G17" s="146">
        <v>86</v>
      </c>
      <c r="H17" s="146">
        <v>90</v>
      </c>
      <c r="I17" s="146">
        <v>98</v>
      </c>
      <c r="J17" s="146">
        <v>95</v>
      </c>
      <c r="K17" s="146">
        <v>95</v>
      </c>
      <c r="L17" s="146">
        <f t="shared" si="0"/>
        <v>849</v>
      </c>
      <c r="M17" s="147">
        <f t="shared" si="1"/>
        <v>94.33</v>
      </c>
      <c r="N17" s="21">
        <f t="shared" si="2"/>
        <v>5</v>
      </c>
      <c r="O17" s="22" t="str">
        <f t="shared" si="3"/>
        <v>A+</v>
      </c>
      <c r="P17" s="148" t="str">
        <f t="shared" si="4"/>
        <v>3q</v>
      </c>
      <c r="Q17" s="42">
        <f t="shared" si="5"/>
        <v>3</v>
      </c>
      <c r="R17" s="43">
        <f t="shared" si="6"/>
        <v>94.33</v>
      </c>
      <c r="S17" s="44"/>
    </row>
    <row r="18" spans="1:19" ht="30" customHeight="1">
      <c r="A18" s="144">
        <v>5</v>
      </c>
      <c r="B18" s="138" t="s">
        <v>73</v>
      </c>
      <c r="C18" s="145">
        <v>100</v>
      </c>
      <c r="D18" s="146">
        <v>97</v>
      </c>
      <c r="E18" s="146">
        <v>96</v>
      </c>
      <c r="F18" s="146">
        <v>99</v>
      </c>
      <c r="G18" s="146">
        <v>90</v>
      </c>
      <c r="H18" s="146">
        <v>100</v>
      </c>
      <c r="I18" s="146">
        <v>100</v>
      </c>
      <c r="J18" s="146">
        <v>100</v>
      </c>
      <c r="K18" s="146">
        <v>90</v>
      </c>
      <c r="L18" s="146">
        <f t="shared" si="0"/>
        <v>872</v>
      </c>
      <c r="M18" s="147">
        <f t="shared" si="1"/>
        <v>96.89</v>
      </c>
      <c r="N18" s="21">
        <f t="shared" si="2"/>
        <v>5</v>
      </c>
      <c r="O18" s="22" t="str">
        <f t="shared" si="3"/>
        <v>A+</v>
      </c>
      <c r="P18" s="148" t="str">
        <f t="shared" si="4"/>
        <v>1g</v>
      </c>
      <c r="Q18" s="42">
        <f t="shared" si="5"/>
        <v>1</v>
      </c>
      <c r="R18" s="43">
        <f t="shared" si="6"/>
        <v>96.89</v>
      </c>
      <c r="S18" s="44"/>
    </row>
    <row r="19" spans="1:19" ht="30" customHeight="1">
      <c r="A19" s="144">
        <v>6</v>
      </c>
      <c r="B19" s="138" t="s">
        <v>74</v>
      </c>
      <c r="C19" s="145">
        <v>99</v>
      </c>
      <c r="D19" s="146">
        <v>95</v>
      </c>
      <c r="E19" s="146">
        <v>96</v>
      </c>
      <c r="F19" s="146">
        <v>100</v>
      </c>
      <c r="G19" s="146">
        <v>90</v>
      </c>
      <c r="H19" s="146">
        <v>92</v>
      </c>
      <c r="I19" s="146">
        <v>95</v>
      </c>
      <c r="J19" s="146">
        <v>90</v>
      </c>
      <c r="K19" s="146">
        <v>80</v>
      </c>
      <c r="L19" s="146">
        <f t="shared" si="0"/>
        <v>837</v>
      </c>
      <c r="M19" s="147">
        <f t="shared" si="1"/>
        <v>93</v>
      </c>
      <c r="N19" s="21">
        <f t="shared" si="2"/>
        <v>5</v>
      </c>
      <c r="O19" s="22" t="str">
        <f t="shared" si="3"/>
        <v>A+</v>
      </c>
      <c r="P19" s="148">
        <f t="shared" si="4"/>
        <v>4</v>
      </c>
      <c r="Q19" s="42">
        <f t="shared" si="5"/>
        <v>4</v>
      </c>
      <c r="R19" s="43">
        <f t="shared" si="6"/>
        <v>93</v>
      </c>
      <c r="S19" s="44"/>
    </row>
    <row r="20" spans="1:19" ht="30" customHeight="1">
      <c r="A20" s="144">
        <v>7</v>
      </c>
      <c r="B20" s="138" t="s">
        <v>75</v>
      </c>
      <c r="C20" s="145">
        <v>70</v>
      </c>
      <c r="D20" s="146">
        <v>75</v>
      </c>
      <c r="E20" s="146">
        <v>75</v>
      </c>
      <c r="F20" s="146">
        <v>66</v>
      </c>
      <c r="G20" s="146">
        <v>72</v>
      </c>
      <c r="H20" s="146">
        <v>70</v>
      </c>
      <c r="I20" s="146">
        <v>80</v>
      </c>
      <c r="J20" s="146">
        <v>60</v>
      </c>
      <c r="K20" s="146">
        <v>50</v>
      </c>
      <c r="L20" s="146">
        <f t="shared" si="0"/>
        <v>618</v>
      </c>
      <c r="M20" s="147">
        <f t="shared" si="1"/>
        <v>68.67</v>
      </c>
      <c r="N20" s="21">
        <f t="shared" si="2"/>
        <v>3.89</v>
      </c>
      <c r="O20" s="22" t="str">
        <f t="shared" si="3"/>
        <v>A-</v>
      </c>
      <c r="P20" s="148">
        <f t="shared" si="4"/>
        <v>13</v>
      </c>
      <c r="Q20" s="42">
        <f t="shared" si="5"/>
        <v>13</v>
      </c>
      <c r="R20" s="43">
        <f t="shared" si="6"/>
        <v>68.67</v>
      </c>
      <c r="S20" s="44"/>
    </row>
    <row r="21" spans="1:19" ht="30" customHeight="1">
      <c r="A21" s="144">
        <v>8</v>
      </c>
      <c r="B21" s="138" t="s">
        <v>76</v>
      </c>
      <c r="C21" s="145">
        <v>98</v>
      </c>
      <c r="D21" s="146">
        <v>85</v>
      </c>
      <c r="E21" s="146">
        <v>97</v>
      </c>
      <c r="F21" s="146">
        <v>94</v>
      </c>
      <c r="G21" s="146">
        <v>78</v>
      </c>
      <c r="H21" s="146">
        <v>85</v>
      </c>
      <c r="I21" s="146">
        <v>95</v>
      </c>
      <c r="J21" s="146">
        <v>90</v>
      </c>
      <c r="K21" s="146">
        <v>75</v>
      </c>
      <c r="L21" s="146">
        <f t="shared" si="0"/>
        <v>797</v>
      </c>
      <c r="M21" s="147">
        <f t="shared" si="1"/>
        <v>88.56</v>
      </c>
      <c r="N21" s="21">
        <f t="shared" si="2"/>
        <v>4.78</v>
      </c>
      <c r="O21" s="22" t="str">
        <f t="shared" si="3"/>
        <v>A</v>
      </c>
      <c r="P21" s="148">
        <f t="shared" si="4"/>
        <v>5</v>
      </c>
      <c r="Q21" s="42">
        <f t="shared" si="5"/>
        <v>5</v>
      </c>
      <c r="R21" s="43">
        <f t="shared" si="6"/>
        <v>88.56</v>
      </c>
      <c r="S21" s="44"/>
    </row>
    <row r="22" spans="1:19" ht="30" customHeight="1">
      <c r="A22" s="144">
        <v>9</v>
      </c>
      <c r="B22" s="138" t="s">
        <v>187</v>
      </c>
      <c r="C22" s="145">
        <v>99</v>
      </c>
      <c r="D22" s="146">
        <v>92</v>
      </c>
      <c r="E22" s="146">
        <v>95</v>
      </c>
      <c r="F22" s="146">
        <v>84</v>
      </c>
      <c r="G22" s="146">
        <v>82</v>
      </c>
      <c r="H22" s="146">
        <v>90</v>
      </c>
      <c r="I22" s="146">
        <v>90</v>
      </c>
      <c r="J22" s="146">
        <v>85</v>
      </c>
      <c r="K22" s="146">
        <v>70</v>
      </c>
      <c r="L22" s="146">
        <f t="shared" si="0"/>
        <v>787</v>
      </c>
      <c r="M22" s="147">
        <f t="shared" si="1"/>
        <v>87.44</v>
      </c>
      <c r="N22" s="21">
        <f t="shared" si="2"/>
        <v>4.8899999999999997</v>
      </c>
      <c r="O22" s="22" t="str">
        <f t="shared" si="3"/>
        <v>A</v>
      </c>
      <c r="P22" s="148">
        <f t="shared" si="4"/>
        <v>6</v>
      </c>
      <c r="Q22" s="42">
        <f t="shared" si="5"/>
        <v>6</v>
      </c>
      <c r="R22" s="43">
        <f t="shared" si="6"/>
        <v>87.44</v>
      </c>
      <c r="S22" s="44"/>
    </row>
    <row r="23" spans="1:19" ht="30" customHeight="1">
      <c r="A23" s="144">
        <v>10</v>
      </c>
      <c r="B23" s="138" t="s">
        <v>77</v>
      </c>
      <c r="C23" s="145">
        <v>80</v>
      </c>
      <c r="D23" s="146">
        <v>70</v>
      </c>
      <c r="E23" s="146">
        <v>75</v>
      </c>
      <c r="F23" s="146">
        <v>72</v>
      </c>
      <c r="G23" s="146">
        <v>69</v>
      </c>
      <c r="H23" s="146">
        <v>78</v>
      </c>
      <c r="I23" s="146">
        <v>85</v>
      </c>
      <c r="J23" s="146">
        <v>85</v>
      </c>
      <c r="K23" s="146">
        <v>60</v>
      </c>
      <c r="L23" s="146">
        <f t="shared" si="0"/>
        <v>674</v>
      </c>
      <c r="M23" s="147">
        <f t="shared" si="1"/>
        <v>74.89</v>
      </c>
      <c r="N23" s="21">
        <f t="shared" si="2"/>
        <v>4.22</v>
      </c>
      <c r="O23" s="22" t="str">
        <f t="shared" si="3"/>
        <v>A</v>
      </c>
      <c r="P23" s="148">
        <f t="shared" si="4"/>
        <v>11</v>
      </c>
      <c r="Q23" s="42">
        <f t="shared" si="5"/>
        <v>11</v>
      </c>
      <c r="R23" s="43">
        <f t="shared" si="6"/>
        <v>74.89</v>
      </c>
      <c r="S23" s="44"/>
    </row>
    <row r="24" spans="1:19" ht="30" customHeight="1">
      <c r="A24" s="144">
        <v>11</v>
      </c>
      <c r="B24" s="138" t="s">
        <v>78</v>
      </c>
      <c r="C24" s="145">
        <v>80</v>
      </c>
      <c r="D24" s="146">
        <v>60</v>
      </c>
      <c r="E24" s="146">
        <v>80</v>
      </c>
      <c r="F24" s="146">
        <v>78</v>
      </c>
      <c r="G24" s="146">
        <v>80</v>
      </c>
      <c r="H24" s="146">
        <v>80</v>
      </c>
      <c r="I24" s="146">
        <v>90</v>
      </c>
      <c r="J24" s="146">
        <v>95</v>
      </c>
      <c r="K24" s="146">
        <v>85</v>
      </c>
      <c r="L24" s="146">
        <f t="shared" si="0"/>
        <v>728</v>
      </c>
      <c r="M24" s="147">
        <f t="shared" si="1"/>
        <v>80.89</v>
      </c>
      <c r="N24" s="21">
        <f t="shared" si="2"/>
        <v>4.72</v>
      </c>
      <c r="O24" s="22" t="str">
        <f t="shared" si="3"/>
        <v>A</v>
      </c>
      <c r="P24" s="148">
        <f t="shared" si="4"/>
        <v>9</v>
      </c>
      <c r="Q24" s="42">
        <f t="shared" si="5"/>
        <v>9</v>
      </c>
      <c r="R24" s="43">
        <f t="shared" si="6"/>
        <v>80.89</v>
      </c>
      <c r="S24" s="44"/>
    </row>
    <row r="25" spans="1:19" ht="30" customHeight="1">
      <c r="A25" s="144">
        <v>12</v>
      </c>
      <c r="B25" s="138" t="s">
        <v>79</v>
      </c>
      <c r="C25" s="145">
        <v>95</v>
      </c>
      <c r="D25" s="146">
        <v>82</v>
      </c>
      <c r="E25" s="146">
        <v>95</v>
      </c>
      <c r="F25" s="146">
        <v>92</v>
      </c>
      <c r="G25" s="146">
        <v>81</v>
      </c>
      <c r="H25" s="146">
        <v>93</v>
      </c>
      <c r="I25" s="146">
        <v>85</v>
      </c>
      <c r="J25" s="146">
        <v>80</v>
      </c>
      <c r="K25" s="146">
        <v>75</v>
      </c>
      <c r="L25" s="146">
        <f t="shared" si="0"/>
        <v>778</v>
      </c>
      <c r="M25" s="147">
        <f t="shared" si="1"/>
        <v>86.44</v>
      </c>
      <c r="N25" s="21">
        <f t="shared" si="2"/>
        <v>4.8899999999999997</v>
      </c>
      <c r="O25" s="22" t="str">
        <f t="shared" si="3"/>
        <v>A</v>
      </c>
      <c r="P25" s="148">
        <f t="shared" si="4"/>
        <v>7</v>
      </c>
      <c r="Q25" s="42">
        <f t="shared" si="5"/>
        <v>7</v>
      </c>
      <c r="R25" s="43">
        <f t="shared" si="6"/>
        <v>86.44</v>
      </c>
      <c r="S25" s="44"/>
    </row>
    <row r="26" spans="1:19" ht="30" customHeight="1">
      <c r="A26" s="144">
        <v>13</v>
      </c>
      <c r="B26" s="138" t="s">
        <v>80</v>
      </c>
      <c r="C26" s="145">
        <v>85</v>
      </c>
      <c r="D26" s="146">
        <v>65</v>
      </c>
      <c r="E26" s="146">
        <v>70</v>
      </c>
      <c r="F26" s="146">
        <v>60</v>
      </c>
      <c r="G26" s="146">
        <v>72</v>
      </c>
      <c r="H26" s="146">
        <v>77</v>
      </c>
      <c r="I26" s="146">
        <v>80</v>
      </c>
      <c r="J26" s="146">
        <v>85</v>
      </c>
      <c r="K26" s="146">
        <v>85</v>
      </c>
      <c r="L26" s="146">
        <f t="shared" si="0"/>
        <v>679</v>
      </c>
      <c r="M26" s="147">
        <f t="shared" si="1"/>
        <v>75.44</v>
      </c>
      <c r="N26" s="21">
        <f t="shared" si="2"/>
        <v>4.33</v>
      </c>
      <c r="O26" s="22" t="str">
        <f t="shared" si="3"/>
        <v>A</v>
      </c>
      <c r="P26" s="148">
        <f t="shared" si="4"/>
        <v>10</v>
      </c>
      <c r="Q26" s="42">
        <f t="shared" si="5"/>
        <v>10</v>
      </c>
      <c r="R26" s="43">
        <f t="shared" si="6"/>
        <v>75.44</v>
      </c>
      <c r="S26" s="44"/>
    </row>
    <row r="27" spans="1:19" ht="30" customHeight="1">
      <c r="A27" s="144">
        <v>14</v>
      </c>
      <c r="B27" s="138" t="s">
        <v>81</v>
      </c>
      <c r="C27" s="145" t="s">
        <v>82</v>
      </c>
      <c r="D27" s="146" t="s">
        <v>82</v>
      </c>
      <c r="E27" s="146" t="s">
        <v>82</v>
      </c>
      <c r="F27" s="146" t="s">
        <v>82</v>
      </c>
      <c r="G27" s="146" t="s">
        <v>82</v>
      </c>
      <c r="H27" s="146" t="s">
        <v>82</v>
      </c>
      <c r="I27" s="146" t="s">
        <v>82</v>
      </c>
      <c r="J27" s="146" t="s">
        <v>82</v>
      </c>
      <c r="K27" s="146" t="s">
        <v>82</v>
      </c>
      <c r="L27" s="146" t="str">
        <f t="shared" si="0"/>
        <v/>
      </c>
      <c r="M27" s="147" t="str">
        <f t="shared" si="1"/>
        <v/>
      </c>
      <c r="N27" s="21" t="str">
        <f t="shared" si="2"/>
        <v/>
      </c>
      <c r="O27" s="22" t="str">
        <f t="shared" si="3"/>
        <v/>
      </c>
      <c r="P27" s="148" t="str">
        <f t="shared" si="4"/>
        <v>1g</v>
      </c>
      <c r="Q27" s="42">
        <f t="shared" si="5"/>
        <v>1</v>
      </c>
      <c r="R27" s="43" t="str">
        <f t="shared" si="6"/>
        <v/>
      </c>
      <c r="S27" s="44"/>
    </row>
    <row r="28" spans="1:19" ht="30" customHeight="1">
      <c r="A28" s="144">
        <v>15</v>
      </c>
      <c r="B28" s="138" t="s">
        <v>83</v>
      </c>
      <c r="C28" s="145">
        <v>95</v>
      </c>
      <c r="D28" s="146">
        <v>80</v>
      </c>
      <c r="E28" s="146">
        <v>75</v>
      </c>
      <c r="F28" s="146">
        <v>84</v>
      </c>
      <c r="G28" s="146">
        <v>83</v>
      </c>
      <c r="H28" s="146">
        <v>93</v>
      </c>
      <c r="I28" s="146">
        <v>80</v>
      </c>
      <c r="J28" s="146">
        <v>75</v>
      </c>
      <c r="K28" s="146">
        <v>75</v>
      </c>
      <c r="L28" s="146">
        <f t="shared" si="0"/>
        <v>740</v>
      </c>
      <c r="M28" s="147">
        <f t="shared" si="1"/>
        <v>82.22</v>
      </c>
      <c r="N28" s="21">
        <f t="shared" si="2"/>
        <v>4.67</v>
      </c>
      <c r="O28" s="22" t="str">
        <f t="shared" si="3"/>
        <v>A</v>
      </c>
      <c r="P28" s="148">
        <f t="shared" si="4"/>
        <v>8</v>
      </c>
      <c r="Q28" s="42">
        <f t="shared" si="5"/>
        <v>8</v>
      </c>
      <c r="R28" s="43">
        <f t="shared" si="6"/>
        <v>82.22</v>
      </c>
      <c r="S28" s="44"/>
    </row>
    <row r="29" spans="1:19" ht="30" customHeight="1">
      <c r="A29" s="144">
        <v>16</v>
      </c>
      <c r="B29" s="138" t="s">
        <v>84</v>
      </c>
      <c r="C29" s="145" t="s">
        <v>82</v>
      </c>
      <c r="D29" s="146" t="s">
        <v>82</v>
      </c>
      <c r="E29" s="146" t="s">
        <v>82</v>
      </c>
      <c r="F29" s="146" t="s">
        <v>82</v>
      </c>
      <c r="G29" s="146" t="s">
        <v>82</v>
      </c>
      <c r="H29" s="146" t="s">
        <v>82</v>
      </c>
      <c r="I29" s="146" t="s">
        <v>82</v>
      </c>
      <c r="J29" s="146" t="s">
        <v>82</v>
      </c>
      <c r="K29" s="146" t="s">
        <v>82</v>
      </c>
      <c r="L29" s="146" t="str">
        <f t="shared" si="0"/>
        <v/>
      </c>
      <c r="M29" s="147" t="str">
        <f t="shared" si="1"/>
        <v/>
      </c>
      <c r="N29" s="21" t="str">
        <f t="shared" si="2"/>
        <v/>
      </c>
      <c r="O29" s="22" t="str">
        <f t="shared" si="3"/>
        <v/>
      </c>
      <c r="P29" s="148" t="str">
        <f t="shared" si="4"/>
        <v>1g</v>
      </c>
      <c r="Q29" s="42">
        <f t="shared" si="5"/>
        <v>1</v>
      </c>
      <c r="R29" s="43" t="str">
        <f t="shared" si="6"/>
        <v/>
      </c>
      <c r="S29" s="44"/>
    </row>
    <row r="30" spans="1:19" ht="30" customHeight="1">
      <c r="A30" s="220">
        <v>17</v>
      </c>
      <c r="B30" s="138" t="s">
        <v>85</v>
      </c>
      <c r="C30" s="221">
        <v>70</v>
      </c>
      <c r="D30" s="222">
        <v>65</v>
      </c>
      <c r="E30" s="222">
        <v>85</v>
      </c>
      <c r="F30" s="222">
        <v>92</v>
      </c>
      <c r="G30" s="222">
        <v>77</v>
      </c>
      <c r="H30" s="222">
        <v>72</v>
      </c>
      <c r="I30" s="222">
        <v>70</v>
      </c>
      <c r="J30" s="222">
        <v>65</v>
      </c>
      <c r="K30" s="222">
        <v>55</v>
      </c>
      <c r="L30" s="222">
        <f t="shared" si="0"/>
        <v>651</v>
      </c>
      <c r="M30" s="147">
        <f t="shared" si="1"/>
        <v>72.33</v>
      </c>
      <c r="N30" s="21">
        <f t="shared" si="2"/>
        <v>4</v>
      </c>
      <c r="O30" s="22" t="str">
        <f t="shared" si="3"/>
        <v>A</v>
      </c>
      <c r="P30" s="148">
        <f t="shared" si="4"/>
        <v>12</v>
      </c>
      <c r="Q30" s="42">
        <f t="shared" si="5"/>
        <v>12</v>
      </c>
      <c r="R30" s="43">
        <f t="shared" si="6"/>
        <v>72.33</v>
      </c>
      <c r="S30" s="44"/>
    </row>
    <row r="31" spans="1:19" ht="30" customHeight="1" thickBot="1">
      <c r="A31" s="151">
        <v>18</v>
      </c>
      <c r="B31" s="138" t="s">
        <v>86</v>
      </c>
      <c r="C31" s="152">
        <v>70</v>
      </c>
      <c r="D31" s="153">
        <v>45</v>
      </c>
      <c r="E31" s="153">
        <v>40</v>
      </c>
      <c r="F31" s="153">
        <v>40</v>
      </c>
      <c r="G31" s="153">
        <v>38</v>
      </c>
      <c r="H31" s="153">
        <v>60</v>
      </c>
      <c r="I31" s="153">
        <v>70</v>
      </c>
      <c r="J31" s="153">
        <v>60</v>
      </c>
      <c r="K31" s="153">
        <v>50</v>
      </c>
      <c r="L31" s="153">
        <f t="shared" si="0"/>
        <v>473</v>
      </c>
      <c r="M31" s="147">
        <f t="shared" si="1"/>
        <v>52.56</v>
      </c>
      <c r="N31" s="21">
        <f t="shared" si="2"/>
        <v>2.78</v>
      </c>
      <c r="O31" s="22" t="str">
        <f t="shared" si="3"/>
        <v>C</v>
      </c>
      <c r="P31" s="148">
        <f t="shared" si="4"/>
        <v>14</v>
      </c>
      <c r="Q31" s="42">
        <f t="shared" si="5"/>
        <v>14</v>
      </c>
      <c r="R31" s="43">
        <f t="shared" si="6"/>
        <v>52.56</v>
      </c>
      <c r="S31" s="44"/>
    </row>
    <row r="32" spans="1:19" ht="30" customHeight="1">
      <c r="A32" s="46">
        <v>19</v>
      </c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8" t="str">
        <f t="shared" si="0"/>
        <v/>
      </c>
      <c r="M32" s="48" t="str">
        <f t="shared" si="1"/>
        <v/>
      </c>
      <c r="N32" s="49" t="str">
        <f t="shared" si="2"/>
        <v/>
      </c>
      <c r="O32" s="50" t="str">
        <f t="shared" si="3"/>
        <v/>
      </c>
      <c r="P32" s="46" t="str">
        <f t="shared" si="4"/>
        <v/>
      </c>
      <c r="Q32" s="42" t="str">
        <f t="shared" si="5"/>
        <v/>
      </c>
      <c r="R32" s="43" t="str">
        <f t="shared" si="6"/>
        <v/>
      </c>
      <c r="S32" s="44"/>
    </row>
    <row r="33" spans="1:19" ht="30" customHeight="1">
      <c r="A33" s="46">
        <v>20</v>
      </c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8" t="str">
        <f t="shared" si="0"/>
        <v/>
      </c>
      <c r="M33" s="48" t="str">
        <f t="shared" si="1"/>
        <v/>
      </c>
      <c r="N33" s="49" t="str">
        <f t="shared" si="2"/>
        <v/>
      </c>
      <c r="O33" s="50" t="str">
        <f t="shared" si="3"/>
        <v/>
      </c>
      <c r="P33" s="46" t="str">
        <f t="shared" si="4"/>
        <v/>
      </c>
      <c r="Q33" s="42" t="str">
        <f t="shared" si="5"/>
        <v/>
      </c>
      <c r="R33" s="43" t="str">
        <f t="shared" si="6"/>
        <v/>
      </c>
      <c r="S33" s="44"/>
    </row>
    <row r="34" spans="1:19" ht="30" customHeight="1">
      <c r="A34" s="46">
        <v>21</v>
      </c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 t="str">
        <f t="shared" si="0"/>
        <v/>
      </c>
      <c r="M34" s="48" t="str">
        <f t="shared" si="1"/>
        <v/>
      </c>
      <c r="N34" s="49" t="str">
        <f t="shared" si="2"/>
        <v/>
      </c>
      <c r="O34" s="50" t="str">
        <f t="shared" si="3"/>
        <v/>
      </c>
      <c r="P34" s="46" t="str">
        <f t="shared" si="4"/>
        <v/>
      </c>
      <c r="Q34" s="42" t="str">
        <f t="shared" si="5"/>
        <v/>
      </c>
      <c r="R34" s="43" t="str">
        <f t="shared" si="6"/>
        <v/>
      </c>
      <c r="S34" s="44"/>
    </row>
    <row r="35" spans="1:19" ht="30" customHeight="1">
      <c r="A35" s="46">
        <v>22</v>
      </c>
      <c r="B35" s="47"/>
      <c r="C35" s="48"/>
      <c r="D35" s="48"/>
      <c r="E35" s="48"/>
      <c r="F35" s="48"/>
      <c r="G35" s="48"/>
      <c r="H35" s="48"/>
      <c r="I35" s="48"/>
      <c r="J35" s="48"/>
      <c r="K35" s="48"/>
      <c r="L35" s="48" t="str">
        <f t="shared" si="0"/>
        <v/>
      </c>
      <c r="M35" s="48" t="str">
        <f t="shared" si="1"/>
        <v/>
      </c>
      <c r="N35" s="49" t="str">
        <f t="shared" si="2"/>
        <v/>
      </c>
      <c r="O35" s="50" t="str">
        <f t="shared" si="3"/>
        <v/>
      </c>
      <c r="P35" s="46" t="str">
        <f t="shared" si="4"/>
        <v/>
      </c>
      <c r="Q35" s="42" t="str">
        <f t="shared" si="5"/>
        <v/>
      </c>
      <c r="R35" s="43" t="str">
        <f t="shared" si="6"/>
        <v/>
      </c>
      <c r="S35" s="44"/>
    </row>
    <row r="36" spans="1:19" ht="30" customHeight="1">
      <c r="A36" s="46">
        <v>23</v>
      </c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8" t="str">
        <f t="shared" si="0"/>
        <v/>
      </c>
      <c r="M36" s="48" t="str">
        <f t="shared" si="1"/>
        <v/>
      </c>
      <c r="N36" s="49" t="str">
        <f t="shared" si="2"/>
        <v/>
      </c>
      <c r="O36" s="50" t="str">
        <f t="shared" si="3"/>
        <v/>
      </c>
      <c r="P36" s="46" t="str">
        <f t="shared" si="4"/>
        <v/>
      </c>
      <c r="Q36" s="42" t="str">
        <f t="shared" si="5"/>
        <v/>
      </c>
      <c r="R36" s="43" t="str">
        <f t="shared" si="6"/>
        <v/>
      </c>
      <c r="S36" s="44"/>
    </row>
    <row r="37" spans="1:19" ht="30" customHeight="1">
      <c r="A37" s="46">
        <v>24</v>
      </c>
      <c r="B37" s="47"/>
      <c r="C37" s="48"/>
      <c r="D37" s="48"/>
      <c r="E37" s="48"/>
      <c r="F37" s="48"/>
      <c r="G37" s="48"/>
      <c r="H37" s="48"/>
      <c r="I37" s="48"/>
      <c r="J37" s="48"/>
      <c r="K37" s="48"/>
      <c r="L37" s="48" t="str">
        <f t="shared" si="0"/>
        <v/>
      </c>
      <c r="M37" s="48" t="str">
        <f t="shared" si="1"/>
        <v/>
      </c>
      <c r="N37" s="49" t="str">
        <f t="shared" si="2"/>
        <v/>
      </c>
      <c r="O37" s="50" t="str">
        <f t="shared" si="3"/>
        <v/>
      </c>
      <c r="P37" s="46" t="str">
        <f t="shared" si="4"/>
        <v/>
      </c>
      <c r="Q37" s="42" t="str">
        <f t="shared" si="5"/>
        <v/>
      </c>
      <c r="R37" s="43" t="str">
        <f t="shared" si="6"/>
        <v/>
      </c>
      <c r="S37" s="44"/>
    </row>
    <row r="38" spans="1:19" s="26" customFormat="1" ht="21.75" customHeight="1">
      <c r="A38" s="29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 t="str">
        <f t="shared" si="0"/>
        <v/>
      </c>
      <c r="M38" s="32" t="str">
        <f t="shared" si="1"/>
        <v/>
      </c>
      <c r="N38" s="32" t="str">
        <f t="shared" si="2"/>
        <v/>
      </c>
      <c r="O38" s="29" t="str">
        <f t="shared" si="3"/>
        <v/>
      </c>
      <c r="P38" s="33" t="str">
        <f t="shared" si="4"/>
        <v/>
      </c>
      <c r="Q38" s="34" t="str">
        <f t="shared" si="5"/>
        <v/>
      </c>
      <c r="R38" s="35" t="str">
        <f t="shared" si="6"/>
        <v/>
      </c>
    </row>
    <row r="39" spans="1:19" s="26" customFormat="1" ht="21.75" customHeight="1">
      <c r="A39" s="33"/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7" t="str">
        <f t="shared" si="0"/>
        <v/>
      </c>
      <c r="M39" s="38" t="str">
        <f t="shared" si="1"/>
        <v/>
      </c>
      <c r="N39" s="38" t="str">
        <f t="shared" si="2"/>
        <v/>
      </c>
      <c r="O39" s="33" t="str">
        <f t="shared" si="3"/>
        <v/>
      </c>
      <c r="P39" s="33" t="str">
        <f t="shared" si="4"/>
        <v/>
      </c>
      <c r="Q39" s="34" t="str">
        <f t="shared" si="5"/>
        <v/>
      </c>
      <c r="R39" s="35" t="str">
        <f t="shared" si="6"/>
        <v/>
      </c>
    </row>
    <row r="40" spans="1:19" s="26" customFormat="1" ht="21.75" customHeight="1">
      <c r="A40" s="33"/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7" t="str">
        <f t="shared" si="0"/>
        <v/>
      </c>
      <c r="M40" s="38" t="str">
        <f t="shared" si="1"/>
        <v/>
      </c>
      <c r="N40" s="38" t="str">
        <f t="shared" si="2"/>
        <v/>
      </c>
      <c r="O40" s="33" t="str">
        <f t="shared" si="3"/>
        <v/>
      </c>
      <c r="P40" s="33" t="str">
        <f t="shared" si="4"/>
        <v/>
      </c>
      <c r="Q40" s="34" t="str">
        <f t="shared" si="5"/>
        <v/>
      </c>
      <c r="R40" s="35" t="str">
        <f t="shared" si="6"/>
        <v/>
      </c>
    </row>
    <row r="41" spans="1:19" s="26" customFormat="1" ht="21.75" customHeight="1">
      <c r="A41" s="33"/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 t="str">
        <f t="shared" si="0"/>
        <v/>
      </c>
      <c r="M41" s="38" t="str">
        <f t="shared" si="1"/>
        <v/>
      </c>
      <c r="N41" s="38" t="str">
        <f t="shared" si="2"/>
        <v/>
      </c>
      <c r="O41" s="33" t="str">
        <f t="shared" si="3"/>
        <v/>
      </c>
      <c r="P41" s="33" t="str">
        <f t="shared" si="4"/>
        <v/>
      </c>
      <c r="Q41" s="34" t="str">
        <f t="shared" si="5"/>
        <v/>
      </c>
      <c r="R41" s="35" t="str">
        <f t="shared" si="6"/>
        <v/>
      </c>
    </row>
    <row r="42" spans="1:19" s="26" customFormat="1" ht="21.75" customHeight="1">
      <c r="A42" s="33"/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 t="str">
        <f t="shared" si="0"/>
        <v/>
      </c>
      <c r="M42" s="38" t="str">
        <f t="shared" si="1"/>
        <v/>
      </c>
      <c r="N42" s="38" t="str">
        <f t="shared" si="2"/>
        <v/>
      </c>
      <c r="O42" s="33" t="str">
        <f t="shared" si="3"/>
        <v/>
      </c>
      <c r="P42" s="33" t="str">
        <f t="shared" si="4"/>
        <v/>
      </c>
      <c r="Q42" s="34" t="str">
        <f t="shared" si="5"/>
        <v/>
      </c>
      <c r="R42" s="35" t="str">
        <f t="shared" si="6"/>
        <v/>
      </c>
    </row>
    <row r="43" spans="1:19" s="26" customFormat="1" ht="21.75" customHeight="1">
      <c r="A43" s="33"/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 t="str">
        <f t="shared" si="0"/>
        <v/>
      </c>
      <c r="M43" s="38" t="str">
        <f t="shared" si="1"/>
        <v/>
      </c>
      <c r="N43" s="38" t="str">
        <f t="shared" si="2"/>
        <v/>
      </c>
      <c r="O43" s="33" t="str">
        <f t="shared" si="3"/>
        <v/>
      </c>
      <c r="P43" s="33" t="str">
        <f t="shared" si="4"/>
        <v/>
      </c>
      <c r="Q43" s="34" t="str">
        <f t="shared" si="5"/>
        <v/>
      </c>
      <c r="R43" s="35" t="str">
        <f t="shared" si="6"/>
        <v/>
      </c>
    </row>
    <row r="44" spans="1:19" s="26" customFormat="1" ht="21.75" customHeight="1">
      <c r="A44" s="33"/>
      <c r="B44" s="36"/>
      <c r="C44" s="37"/>
      <c r="D44" s="37"/>
      <c r="E44" s="37"/>
      <c r="F44" s="37"/>
      <c r="G44" s="37"/>
      <c r="H44" s="37"/>
      <c r="I44" s="37"/>
      <c r="J44" s="37"/>
      <c r="K44" s="37"/>
      <c r="L44" s="37" t="str">
        <f t="shared" si="0"/>
        <v/>
      </c>
      <c r="M44" s="38" t="str">
        <f t="shared" si="1"/>
        <v/>
      </c>
      <c r="N44" s="38" t="str">
        <f t="shared" si="2"/>
        <v/>
      </c>
      <c r="O44" s="33" t="str">
        <f t="shared" si="3"/>
        <v/>
      </c>
      <c r="P44" s="33" t="str">
        <f t="shared" si="4"/>
        <v/>
      </c>
      <c r="Q44" s="34" t="str">
        <f t="shared" si="5"/>
        <v/>
      </c>
      <c r="R44" s="35" t="str">
        <f t="shared" si="6"/>
        <v/>
      </c>
    </row>
    <row r="45" spans="1:19" s="26" customFormat="1" ht="21.75" customHeight="1">
      <c r="A45" s="33"/>
      <c r="B45" s="36"/>
      <c r="C45" s="37"/>
      <c r="D45" s="37"/>
      <c r="E45" s="37"/>
      <c r="F45" s="37"/>
      <c r="G45" s="37"/>
      <c r="H45" s="37"/>
      <c r="I45" s="37"/>
      <c r="J45" s="37"/>
      <c r="K45" s="37"/>
      <c r="L45" s="37" t="str">
        <f t="shared" si="0"/>
        <v/>
      </c>
      <c r="M45" s="38" t="str">
        <f t="shared" si="1"/>
        <v/>
      </c>
      <c r="N45" s="38" t="str">
        <f t="shared" si="2"/>
        <v/>
      </c>
      <c r="O45" s="33" t="str">
        <f t="shared" si="3"/>
        <v/>
      </c>
      <c r="P45" s="33" t="str">
        <f t="shared" si="4"/>
        <v/>
      </c>
      <c r="Q45" s="34" t="str">
        <f t="shared" si="5"/>
        <v/>
      </c>
      <c r="R45" s="35" t="str">
        <f t="shared" si="6"/>
        <v/>
      </c>
    </row>
    <row r="46" spans="1:19" s="26" customFormat="1" ht="21.75" customHeight="1">
      <c r="A46" s="33"/>
      <c r="B46" s="36"/>
      <c r="C46" s="37"/>
      <c r="D46" s="37"/>
      <c r="E46" s="37"/>
      <c r="F46" s="37"/>
      <c r="G46" s="37"/>
      <c r="H46" s="37"/>
      <c r="I46" s="37"/>
      <c r="J46" s="37"/>
      <c r="K46" s="37"/>
      <c r="L46" s="37" t="str">
        <f t="shared" ref="L46:L63" si="7">IF($B46="","",IF(COUNT(C46:K46)=0,"",SUM(C46:K46)))</f>
        <v/>
      </c>
      <c r="M46" s="38" t="str">
        <f t="shared" ref="M46:M63" si="8">IF($B46="","",IF(COUNT(C46:K46)=0,"",ROUND(SUM(C46:K46)/COLUMNS(C46:K46),2)))</f>
        <v/>
      </c>
      <c r="N46" s="38" t="str">
        <f t="shared" ref="N46:N63" si="9">IF($B46="","",IF(COUNT(C46:K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+IF(ISNUMBER(K46),IF(K46&gt;=80,5,IF(K46&gt;=70,4,IF(K46&gt;=60,3.5,IF(K46&gt;=50,3,IF(K46&gt;=40,2,IF(K46&gt;=33,1,0)))))),0))/COLUMNS(C46:K46),2)))</f>
        <v/>
      </c>
      <c r="O46" s="33" t="str">
        <f t="shared" ref="O46:O63" si="10">IF($B46="","",IF(N46="","",IF(N46=0,"Fail",IF(N46=5,"A+",IF(N46&gt;=4,"A",IF(N46&gt;=3.5,"A-",IF(N46&gt;=3,"B",IF(N46&gt;=2,"C",IF(N46&gt;=1,"D","F")))))))))</f>
        <v/>
      </c>
      <c r="P46" s="33" t="str">
        <f t="shared" ref="P46:P63" si="11">IF($B46="","",IF($Q46="","",IF($Q46=1,"1g",IF($Q46=2,"2q",IF($Q46=3,"3q",$Q46)))))</f>
        <v/>
      </c>
      <c r="Q46" s="34" t="str">
        <f t="shared" ref="Q46:Q63" si="12">IF($B46="","",IF(OR($O46="ফেল",$O46="অনুপস্থিত",$O46="অসম্পূর্ণ"),"",1+SUMPRODUCT(($R$14:$R$63&lt;&gt;"")*($R$14:$R$63&gt;R46)/COUNTIF($R$14:$R$63,$R$14:$R$63))))</f>
        <v/>
      </c>
      <c r="R46" s="35" t="str">
        <f t="shared" ref="R46:R63" si="13">IF($B46="","",M46)</f>
        <v/>
      </c>
    </row>
    <row r="47" spans="1:19" s="26" customFormat="1" ht="21.75" customHeight="1">
      <c r="A47" s="33">
        <v>34</v>
      </c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7" t="str">
        <f t="shared" si="7"/>
        <v/>
      </c>
      <c r="M47" s="38" t="str">
        <f t="shared" si="8"/>
        <v/>
      </c>
      <c r="N47" s="38" t="str">
        <f t="shared" si="9"/>
        <v/>
      </c>
      <c r="O47" s="33" t="str">
        <f t="shared" si="10"/>
        <v/>
      </c>
      <c r="P47" s="33" t="str">
        <f t="shared" si="11"/>
        <v/>
      </c>
      <c r="Q47" s="34" t="str">
        <f t="shared" si="12"/>
        <v/>
      </c>
      <c r="R47" s="35" t="str">
        <f t="shared" si="13"/>
        <v/>
      </c>
    </row>
    <row r="48" spans="1:19" s="26" customFormat="1" ht="21.75" customHeight="1">
      <c r="A48" s="33">
        <v>35</v>
      </c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 t="str">
        <f t="shared" si="7"/>
        <v/>
      </c>
      <c r="M48" s="38" t="str">
        <f t="shared" si="8"/>
        <v/>
      </c>
      <c r="N48" s="38" t="str">
        <f t="shared" si="9"/>
        <v/>
      </c>
      <c r="O48" s="33" t="str">
        <f t="shared" si="10"/>
        <v/>
      </c>
      <c r="P48" s="33" t="str">
        <f t="shared" si="11"/>
        <v/>
      </c>
      <c r="Q48" s="34" t="str">
        <f t="shared" si="12"/>
        <v/>
      </c>
      <c r="R48" s="35" t="str">
        <f t="shared" si="13"/>
        <v/>
      </c>
    </row>
    <row r="49" spans="1:18" s="26" customFormat="1" ht="21.75" customHeight="1">
      <c r="A49" s="33">
        <v>36</v>
      </c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 t="str">
        <f t="shared" si="7"/>
        <v/>
      </c>
      <c r="M49" s="38" t="str">
        <f t="shared" si="8"/>
        <v/>
      </c>
      <c r="N49" s="38" t="str">
        <f t="shared" si="9"/>
        <v/>
      </c>
      <c r="O49" s="33" t="str">
        <f t="shared" si="10"/>
        <v/>
      </c>
      <c r="P49" s="33" t="str">
        <f t="shared" si="11"/>
        <v/>
      </c>
      <c r="Q49" s="34" t="str">
        <f t="shared" si="12"/>
        <v/>
      </c>
      <c r="R49" s="35" t="str">
        <f t="shared" si="13"/>
        <v/>
      </c>
    </row>
    <row r="50" spans="1:18" s="26" customFormat="1" ht="21.75" customHeight="1">
      <c r="A50" s="33">
        <v>37</v>
      </c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 t="str">
        <f t="shared" si="7"/>
        <v/>
      </c>
      <c r="M50" s="38" t="str">
        <f t="shared" si="8"/>
        <v/>
      </c>
      <c r="N50" s="38" t="str">
        <f t="shared" si="9"/>
        <v/>
      </c>
      <c r="O50" s="33" t="str">
        <f t="shared" si="10"/>
        <v/>
      </c>
      <c r="P50" s="33" t="str">
        <f t="shared" si="11"/>
        <v/>
      </c>
      <c r="Q50" s="34" t="str">
        <f t="shared" si="12"/>
        <v/>
      </c>
      <c r="R50" s="35" t="str">
        <f t="shared" si="13"/>
        <v/>
      </c>
    </row>
    <row r="51" spans="1:18" s="26" customFormat="1" ht="21.75" customHeight="1">
      <c r="A51" s="33">
        <v>38</v>
      </c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 t="str">
        <f t="shared" si="7"/>
        <v/>
      </c>
      <c r="M51" s="38" t="str">
        <f t="shared" si="8"/>
        <v/>
      </c>
      <c r="N51" s="38" t="str">
        <f t="shared" si="9"/>
        <v/>
      </c>
      <c r="O51" s="33" t="str">
        <f t="shared" si="10"/>
        <v/>
      </c>
      <c r="P51" s="33" t="str">
        <f t="shared" si="11"/>
        <v/>
      </c>
      <c r="Q51" s="34" t="str">
        <f t="shared" si="12"/>
        <v/>
      </c>
      <c r="R51" s="35" t="str">
        <f t="shared" si="13"/>
        <v/>
      </c>
    </row>
    <row r="52" spans="1:18" s="26" customFormat="1" ht="21.75" customHeight="1">
      <c r="A52" s="33">
        <v>39</v>
      </c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 t="str">
        <f t="shared" si="7"/>
        <v/>
      </c>
      <c r="M52" s="38" t="str">
        <f t="shared" si="8"/>
        <v/>
      </c>
      <c r="N52" s="38" t="str">
        <f t="shared" si="9"/>
        <v/>
      </c>
      <c r="O52" s="33" t="str">
        <f t="shared" si="10"/>
        <v/>
      </c>
      <c r="P52" s="33" t="str">
        <f t="shared" si="11"/>
        <v/>
      </c>
      <c r="Q52" s="34" t="str">
        <f t="shared" si="12"/>
        <v/>
      </c>
      <c r="R52" s="35" t="str">
        <f t="shared" si="13"/>
        <v/>
      </c>
    </row>
    <row r="53" spans="1:18" s="26" customFormat="1" ht="21.75" customHeight="1">
      <c r="A53" s="33">
        <v>40</v>
      </c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 t="str">
        <f t="shared" si="7"/>
        <v/>
      </c>
      <c r="M53" s="38" t="str">
        <f t="shared" si="8"/>
        <v/>
      </c>
      <c r="N53" s="38" t="str">
        <f t="shared" si="9"/>
        <v/>
      </c>
      <c r="O53" s="33" t="str">
        <f t="shared" si="10"/>
        <v/>
      </c>
      <c r="P53" s="33" t="str">
        <f t="shared" si="11"/>
        <v/>
      </c>
      <c r="Q53" s="34" t="str">
        <f t="shared" si="12"/>
        <v/>
      </c>
      <c r="R53" s="35" t="str">
        <f t="shared" si="13"/>
        <v/>
      </c>
    </row>
    <row r="54" spans="1:18" s="26" customFormat="1" ht="21.75" customHeight="1">
      <c r="A54" s="33">
        <v>41</v>
      </c>
      <c r="B54" s="36"/>
      <c r="C54" s="37"/>
      <c r="D54" s="37"/>
      <c r="E54" s="37"/>
      <c r="F54" s="37"/>
      <c r="G54" s="37"/>
      <c r="H54" s="37"/>
      <c r="I54" s="37"/>
      <c r="J54" s="37"/>
      <c r="K54" s="37"/>
      <c r="L54" s="37" t="str">
        <f t="shared" si="7"/>
        <v/>
      </c>
      <c r="M54" s="38" t="str">
        <f t="shared" si="8"/>
        <v/>
      </c>
      <c r="N54" s="38" t="str">
        <f t="shared" si="9"/>
        <v/>
      </c>
      <c r="O54" s="33" t="str">
        <f t="shared" si="10"/>
        <v/>
      </c>
      <c r="P54" s="33" t="str">
        <f t="shared" si="11"/>
        <v/>
      </c>
      <c r="Q54" s="34" t="str">
        <f t="shared" si="12"/>
        <v/>
      </c>
      <c r="R54" s="35" t="str">
        <f t="shared" si="13"/>
        <v/>
      </c>
    </row>
    <row r="55" spans="1:18" s="26" customFormat="1" ht="21.75" customHeight="1">
      <c r="A55" s="33">
        <v>42</v>
      </c>
      <c r="B55" s="36"/>
      <c r="C55" s="37"/>
      <c r="D55" s="37"/>
      <c r="E55" s="37"/>
      <c r="F55" s="37"/>
      <c r="G55" s="37"/>
      <c r="H55" s="37"/>
      <c r="I55" s="37"/>
      <c r="J55" s="37"/>
      <c r="K55" s="37"/>
      <c r="L55" s="37" t="str">
        <f t="shared" si="7"/>
        <v/>
      </c>
      <c r="M55" s="38" t="str">
        <f t="shared" si="8"/>
        <v/>
      </c>
      <c r="N55" s="38" t="str">
        <f t="shared" si="9"/>
        <v/>
      </c>
      <c r="O55" s="33" t="str">
        <f t="shared" si="10"/>
        <v/>
      </c>
      <c r="P55" s="33" t="str">
        <f t="shared" si="11"/>
        <v/>
      </c>
      <c r="Q55" s="34" t="str">
        <f t="shared" si="12"/>
        <v/>
      </c>
      <c r="R55" s="35" t="str">
        <f t="shared" si="13"/>
        <v/>
      </c>
    </row>
    <row r="56" spans="1:18" s="26" customFormat="1" ht="21.75" customHeight="1">
      <c r="A56" s="33">
        <v>43</v>
      </c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 t="str">
        <f t="shared" si="7"/>
        <v/>
      </c>
      <c r="M56" s="38" t="str">
        <f t="shared" si="8"/>
        <v/>
      </c>
      <c r="N56" s="38" t="str">
        <f t="shared" si="9"/>
        <v/>
      </c>
      <c r="O56" s="33" t="str">
        <f t="shared" si="10"/>
        <v/>
      </c>
      <c r="P56" s="33" t="str">
        <f t="shared" si="11"/>
        <v/>
      </c>
      <c r="Q56" s="34" t="str">
        <f t="shared" si="12"/>
        <v/>
      </c>
      <c r="R56" s="35" t="str">
        <f t="shared" si="13"/>
        <v/>
      </c>
    </row>
    <row r="57" spans="1:18" s="26" customFormat="1" ht="21.75" customHeight="1">
      <c r="A57" s="33">
        <v>44</v>
      </c>
      <c r="B57" s="36"/>
      <c r="C57" s="37"/>
      <c r="D57" s="37"/>
      <c r="E57" s="37"/>
      <c r="F57" s="37"/>
      <c r="G57" s="37"/>
      <c r="H57" s="37"/>
      <c r="I57" s="37"/>
      <c r="J57" s="37"/>
      <c r="K57" s="37"/>
      <c r="L57" s="37" t="str">
        <f t="shared" si="7"/>
        <v/>
      </c>
      <c r="M57" s="38" t="str">
        <f t="shared" si="8"/>
        <v/>
      </c>
      <c r="N57" s="38" t="str">
        <f t="shared" si="9"/>
        <v/>
      </c>
      <c r="O57" s="33" t="str">
        <f t="shared" si="10"/>
        <v/>
      </c>
      <c r="P57" s="33" t="str">
        <f t="shared" si="11"/>
        <v/>
      </c>
      <c r="Q57" s="34" t="str">
        <f t="shared" si="12"/>
        <v/>
      </c>
      <c r="R57" s="35" t="str">
        <f t="shared" si="13"/>
        <v/>
      </c>
    </row>
    <row r="58" spans="1:18" s="26" customFormat="1" ht="21.75" customHeight="1">
      <c r="A58" s="33">
        <v>45</v>
      </c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 t="str">
        <f t="shared" si="7"/>
        <v/>
      </c>
      <c r="M58" s="38" t="str">
        <f t="shared" si="8"/>
        <v/>
      </c>
      <c r="N58" s="38" t="str">
        <f t="shared" si="9"/>
        <v/>
      </c>
      <c r="O58" s="33" t="str">
        <f t="shared" si="10"/>
        <v/>
      </c>
      <c r="P58" s="33" t="str">
        <f t="shared" si="11"/>
        <v/>
      </c>
      <c r="Q58" s="34" t="str">
        <f t="shared" si="12"/>
        <v/>
      </c>
      <c r="R58" s="35" t="str">
        <f t="shared" si="13"/>
        <v/>
      </c>
    </row>
    <row r="59" spans="1:18" s="26" customFormat="1" ht="21.75" customHeight="1">
      <c r="A59" s="33">
        <v>46</v>
      </c>
      <c r="B59" s="36"/>
      <c r="C59" s="37"/>
      <c r="D59" s="37"/>
      <c r="E59" s="37"/>
      <c r="F59" s="37"/>
      <c r="G59" s="37"/>
      <c r="H59" s="37"/>
      <c r="I59" s="37"/>
      <c r="J59" s="37"/>
      <c r="K59" s="37"/>
      <c r="L59" s="37" t="str">
        <f t="shared" si="7"/>
        <v/>
      </c>
      <c r="M59" s="38" t="str">
        <f t="shared" si="8"/>
        <v/>
      </c>
      <c r="N59" s="38" t="str">
        <f t="shared" si="9"/>
        <v/>
      </c>
      <c r="O59" s="33" t="str">
        <f t="shared" si="10"/>
        <v/>
      </c>
      <c r="P59" s="33" t="str">
        <f t="shared" si="11"/>
        <v/>
      </c>
      <c r="Q59" s="34" t="str">
        <f t="shared" si="12"/>
        <v/>
      </c>
      <c r="R59" s="35" t="str">
        <f t="shared" si="13"/>
        <v/>
      </c>
    </row>
    <row r="60" spans="1:18" s="26" customFormat="1" ht="21.75" customHeight="1">
      <c r="A60" s="33">
        <v>47</v>
      </c>
      <c r="B60" s="36"/>
      <c r="C60" s="37"/>
      <c r="D60" s="37"/>
      <c r="E60" s="37"/>
      <c r="F60" s="37"/>
      <c r="G60" s="37"/>
      <c r="H60" s="37"/>
      <c r="I60" s="37"/>
      <c r="J60" s="37"/>
      <c r="K60" s="37"/>
      <c r="L60" s="37" t="str">
        <f t="shared" si="7"/>
        <v/>
      </c>
      <c r="M60" s="38" t="str">
        <f t="shared" si="8"/>
        <v/>
      </c>
      <c r="N60" s="38" t="str">
        <f t="shared" si="9"/>
        <v/>
      </c>
      <c r="O60" s="33" t="str">
        <f t="shared" si="10"/>
        <v/>
      </c>
      <c r="P60" s="33" t="str">
        <f t="shared" si="11"/>
        <v/>
      </c>
      <c r="Q60" s="34" t="str">
        <f t="shared" si="12"/>
        <v/>
      </c>
      <c r="R60" s="35" t="str">
        <f t="shared" si="13"/>
        <v/>
      </c>
    </row>
    <row r="61" spans="1:18" s="26" customFormat="1" ht="21.75" customHeight="1">
      <c r="A61" s="33">
        <v>48</v>
      </c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 t="str">
        <f t="shared" si="7"/>
        <v/>
      </c>
      <c r="M61" s="38" t="str">
        <f t="shared" si="8"/>
        <v/>
      </c>
      <c r="N61" s="38" t="str">
        <f t="shared" si="9"/>
        <v/>
      </c>
      <c r="O61" s="33" t="str">
        <f t="shared" si="10"/>
        <v/>
      </c>
      <c r="P61" s="33" t="str">
        <f t="shared" si="11"/>
        <v/>
      </c>
      <c r="Q61" s="34" t="str">
        <f t="shared" si="12"/>
        <v/>
      </c>
      <c r="R61" s="35" t="str">
        <f t="shared" si="13"/>
        <v/>
      </c>
    </row>
    <row r="62" spans="1:18" s="26" customFormat="1" ht="21.75" customHeight="1">
      <c r="A62" s="33">
        <v>49</v>
      </c>
      <c r="B62" s="36"/>
      <c r="C62" s="37"/>
      <c r="D62" s="37"/>
      <c r="E62" s="37"/>
      <c r="F62" s="37"/>
      <c r="G62" s="37"/>
      <c r="H62" s="37"/>
      <c r="I62" s="37"/>
      <c r="J62" s="37"/>
      <c r="K62" s="37"/>
      <c r="L62" s="37" t="str">
        <f t="shared" si="7"/>
        <v/>
      </c>
      <c r="M62" s="38" t="str">
        <f t="shared" si="8"/>
        <v/>
      </c>
      <c r="N62" s="38" t="str">
        <f t="shared" si="9"/>
        <v/>
      </c>
      <c r="O62" s="33" t="str">
        <f t="shared" si="10"/>
        <v/>
      </c>
      <c r="P62" s="33" t="str">
        <f t="shared" si="11"/>
        <v/>
      </c>
      <c r="Q62" s="34" t="str">
        <f t="shared" si="12"/>
        <v/>
      </c>
      <c r="R62" s="35" t="str">
        <f t="shared" si="13"/>
        <v/>
      </c>
    </row>
    <row r="63" spans="1:18" s="26" customFormat="1" ht="21.75" customHeight="1">
      <c r="A63" s="33">
        <v>50</v>
      </c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 t="str">
        <f t="shared" si="7"/>
        <v/>
      </c>
      <c r="M63" s="38" t="str">
        <f t="shared" si="8"/>
        <v/>
      </c>
      <c r="N63" s="38" t="str">
        <f t="shared" si="9"/>
        <v/>
      </c>
      <c r="O63" s="33" t="str">
        <f t="shared" si="10"/>
        <v/>
      </c>
      <c r="P63" s="33" t="str">
        <f t="shared" si="11"/>
        <v/>
      </c>
      <c r="Q63" s="34" t="str">
        <f t="shared" si="12"/>
        <v/>
      </c>
      <c r="R63" s="35" t="str">
        <f t="shared" si="13"/>
        <v/>
      </c>
    </row>
    <row r="64" spans="1:18" s="26" customFormat="1" ht="21.75" customHeight="1">
      <c r="A64" s="33">
        <v>51</v>
      </c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8"/>
      <c r="N64" s="38"/>
      <c r="O64" s="33"/>
      <c r="P64" s="33"/>
      <c r="Q64" s="34"/>
      <c r="R64" s="35"/>
    </row>
    <row r="65" spans="1:18" s="26" customFormat="1" ht="21.75" customHeight="1">
      <c r="A65" s="33">
        <v>52</v>
      </c>
      <c r="B65" s="36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8"/>
      <c r="N65" s="38"/>
      <c r="O65" s="33"/>
      <c r="P65" s="33"/>
      <c r="Q65" s="34"/>
      <c r="R65" s="35"/>
    </row>
    <row r="66" spans="1:18" s="26" customFormat="1" ht="21.75" customHeight="1">
      <c r="A66" s="33">
        <v>53</v>
      </c>
      <c r="B66" s="36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8"/>
      <c r="N66" s="38"/>
      <c r="O66" s="33"/>
      <c r="P66" s="33"/>
      <c r="Q66" s="34"/>
      <c r="R66" s="35"/>
    </row>
    <row r="67" spans="1:18" s="26" customFormat="1" ht="21.75" customHeight="1">
      <c r="A67" s="33">
        <v>54</v>
      </c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8"/>
      <c r="N67" s="38"/>
      <c r="O67" s="33"/>
      <c r="P67" s="33"/>
      <c r="Q67" s="34"/>
      <c r="R67" s="35"/>
    </row>
    <row r="68" spans="1:18" s="26" customFormat="1" ht="21.75" customHeight="1">
      <c r="A68" s="33">
        <v>55</v>
      </c>
      <c r="B68" s="36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8"/>
      <c r="N68" s="38"/>
      <c r="O68" s="33"/>
      <c r="P68" s="33"/>
      <c r="Q68" s="34"/>
      <c r="R68" s="35"/>
    </row>
    <row r="69" spans="1:18" s="26" customFormat="1" ht="21.75" customHeight="1">
      <c r="A69" s="33">
        <v>56</v>
      </c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/>
      <c r="N69" s="38"/>
      <c r="O69" s="33"/>
      <c r="P69" s="33"/>
      <c r="Q69" s="34"/>
      <c r="R69" s="35"/>
    </row>
    <row r="70" spans="1:18" s="26" customFormat="1" ht="21.75" customHeight="1">
      <c r="A70" s="33">
        <v>57</v>
      </c>
      <c r="B70" s="36"/>
      <c r="C70" s="37"/>
      <c r="D70" s="37"/>
      <c r="E70" s="37"/>
      <c r="F70" s="37"/>
      <c r="G70" s="37"/>
      <c r="H70" s="37"/>
      <c r="I70" s="37"/>
      <c r="J70" s="37"/>
      <c r="K70" s="37"/>
      <c r="L70" s="37" t="str">
        <f t="shared" ref="L70:L113" si="14">IF($B70="","",IF(COUNT(C70:K70)=0,"অনুপস্থিত",IF(COUNT(C70:K70)&lt;7,"অসম্পূর্ণ",SUM(C70:K70))))</f>
        <v/>
      </c>
      <c r="M70" s="38" t="str">
        <f t="shared" ref="M70:M113" si="15">IF($B70="","",IF(COUNT(C70:K70)=0,"অনুপস্থিত",IF(COUNT(C70:K70)&lt;7,"অসম্পূর্ণ",ROUND(SUM(C70:K70)/7,2))))</f>
        <v/>
      </c>
      <c r="N70" s="38" t="str">
        <f t="shared" ref="N70:N113" si="16">IF($B70="","",IF(COUNT(C70:K70)=0,"অনুপস্থিত",IF(COUNT(C70:K70)&lt;7,"অসম্পূর্ণ",ROUND((IF(ISNUMBER(C70),IF(C70&gt;=80,5,IF(C70&gt;=70,4,IF(C70&gt;=60,3.5,IF(C70&gt;=50,3,IF(C70&gt;=40,2,IF(C70&gt;=33,1,0)))))),0)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IF(ISNUMBER(K70),IF(K70&gt;=80,5,IF(K70&gt;=70,4,IF(K70&gt;=60,3.5,IF(K70&gt;=50,3,IF(K70&gt;=40,2,IF(K70&gt;=33,1,0)))))),0))/7,2))))</f>
        <v/>
      </c>
      <c r="O70" s="33" t="str">
        <f t="shared" ref="O70:O113" si="17">IF($B70="","",IF(COUNT(C70:K70)=0,"অনুপস্থিত",IF(COUNT(C70:K70)&lt;7,"অসম্পূর্ণ",IF(MIN(C70:K70)&lt;33,"ফেল",IF(N70=5,"A+",IF(N70&gt;=4,"A",IF(N70&gt;=3.5,"A-",IF(N70&gt;=3,"B",IF(N70&gt;=2,"C",IF(N70&gt;=1,"D","F"))))))))))</f>
        <v/>
      </c>
      <c r="P70" s="33" t="str">
        <f t="shared" ref="P70:P113" si="18">IF($B70="","",IF($O70="ফেল","ফেল",IF($O70="অনুপস্থিত","অনুপস্থিত",IF($O70="অসম্পূর্ণ","অসম্পূর্ণ",IF($Q70=1,"1ম",IF($Q70=2,"2য়",IF($Q70=3,"3য়",$Q70)))))))</f>
        <v/>
      </c>
      <c r="Q70" s="34"/>
      <c r="R70" s="35"/>
    </row>
    <row r="71" spans="1:18" s="26" customFormat="1" ht="21.75" customHeight="1">
      <c r="A71" s="33">
        <v>58</v>
      </c>
      <c r="B71" s="36"/>
      <c r="C71" s="37"/>
      <c r="D71" s="37"/>
      <c r="E71" s="37"/>
      <c r="F71" s="37"/>
      <c r="G71" s="37"/>
      <c r="H71" s="37"/>
      <c r="I71" s="37"/>
      <c r="J71" s="37"/>
      <c r="K71" s="37"/>
      <c r="L71" s="37" t="str">
        <f t="shared" si="14"/>
        <v/>
      </c>
      <c r="M71" s="38" t="str">
        <f t="shared" si="15"/>
        <v/>
      </c>
      <c r="N71" s="38" t="str">
        <f t="shared" si="16"/>
        <v/>
      </c>
      <c r="O71" s="33" t="str">
        <f t="shared" si="17"/>
        <v/>
      </c>
      <c r="P71" s="33" t="str">
        <f t="shared" si="18"/>
        <v/>
      </c>
      <c r="Q71" s="34"/>
      <c r="R71" s="35"/>
    </row>
    <row r="72" spans="1:18" s="26" customFormat="1" ht="21.75" customHeight="1">
      <c r="A72" s="33">
        <v>59</v>
      </c>
      <c r="B72" s="36"/>
      <c r="C72" s="37"/>
      <c r="D72" s="37"/>
      <c r="E72" s="37"/>
      <c r="F72" s="37"/>
      <c r="G72" s="37"/>
      <c r="H72" s="37"/>
      <c r="I72" s="37"/>
      <c r="J72" s="37"/>
      <c r="K72" s="37"/>
      <c r="L72" s="37" t="str">
        <f t="shared" si="14"/>
        <v/>
      </c>
      <c r="M72" s="38" t="str">
        <f t="shared" si="15"/>
        <v/>
      </c>
      <c r="N72" s="38" t="str">
        <f t="shared" si="16"/>
        <v/>
      </c>
      <c r="O72" s="33" t="str">
        <f t="shared" si="17"/>
        <v/>
      </c>
      <c r="P72" s="33" t="str">
        <f t="shared" si="18"/>
        <v/>
      </c>
      <c r="Q72" s="34"/>
      <c r="R72" s="35"/>
    </row>
    <row r="73" spans="1:18" s="26" customFormat="1" ht="21.75" customHeight="1">
      <c r="A73" s="33">
        <v>60</v>
      </c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 t="str">
        <f t="shared" si="14"/>
        <v/>
      </c>
      <c r="M73" s="38" t="str">
        <f t="shared" si="15"/>
        <v/>
      </c>
      <c r="N73" s="38" t="str">
        <f t="shared" si="16"/>
        <v/>
      </c>
      <c r="O73" s="33" t="str">
        <f t="shared" si="17"/>
        <v/>
      </c>
      <c r="P73" s="33" t="str">
        <f t="shared" si="18"/>
        <v/>
      </c>
      <c r="Q73" s="34"/>
      <c r="R73" s="35"/>
    </row>
    <row r="74" spans="1:18" s="26" customFormat="1" ht="21.75" customHeight="1">
      <c r="A74" s="33">
        <v>61</v>
      </c>
      <c r="B74" s="36"/>
      <c r="C74" s="37"/>
      <c r="D74" s="37"/>
      <c r="E74" s="37"/>
      <c r="F74" s="37"/>
      <c r="G74" s="37"/>
      <c r="H74" s="37"/>
      <c r="I74" s="37"/>
      <c r="J74" s="37"/>
      <c r="K74" s="37"/>
      <c r="L74" s="37" t="str">
        <f t="shared" si="14"/>
        <v/>
      </c>
      <c r="M74" s="38" t="str">
        <f t="shared" si="15"/>
        <v/>
      </c>
      <c r="N74" s="38" t="str">
        <f t="shared" si="16"/>
        <v/>
      </c>
      <c r="O74" s="33" t="str">
        <f t="shared" si="17"/>
        <v/>
      </c>
      <c r="P74" s="33" t="str">
        <f t="shared" si="18"/>
        <v/>
      </c>
      <c r="Q74" s="34"/>
      <c r="R74" s="35"/>
    </row>
    <row r="75" spans="1:18" s="26" customFormat="1" ht="21.75" customHeight="1">
      <c r="A75" s="33">
        <v>62</v>
      </c>
      <c r="B75" s="36"/>
      <c r="C75" s="37"/>
      <c r="D75" s="37"/>
      <c r="E75" s="37"/>
      <c r="F75" s="37"/>
      <c r="G75" s="37"/>
      <c r="H75" s="37"/>
      <c r="I75" s="37"/>
      <c r="J75" s="37"/>
      <c r="K75" s="37"/>
      <c r="L75" s="37" t="str">
        <f t="shared" si="14"/>
        <v/>
      </c>
      <c r="M75" s="38" t="str">
        <f t="shared" si="15"/>
        <v/>
      </c>
      <c r="N75" s="38" t="str">
        <f t="shared" si="16"/>
        <v/>
      </c>
      <c r="O75" s="33" t="str">
        <f t="shared" si="17"/>
        <v/>
      </c>
      <c r="P75" s="33" t="str">
        <f t="shared" si="18"/>
        <v/>
      </c>
      <c r="Q75" s="34"/>
      <c r="R75" s="35"/>
    </row>
    <row r="76" spans="1:18" s="26" customFormat="1" ht="21.75" customHeight="1">
      <c r="A76" s="33">
        <v>63</v>
      </c>
      <c r="B76" s="36"/>
      <c r="C76" s="37"/>
      <c r="D76" s="37"/>
      <c r="E76" s="37"/>
      <c r="F76" s="37"/>
      <c r="G76" s="37"/>
      <c r="H76" s="37"/>
      <c r="I76" s="37"/>
      <c r="J76" s="37"/>
      <c r="K76" s="37"/>
      <c r="L76" s="37" t="str">
        <f t="shared" si="14"/>
        <v/>
      </c>
      <c r="M76" s="38" t="str">
        <f t="shared" si="15"/>
        <v/>
      </c>
      <c r="N76" s="38" t="str">
        <f t="shared" si="16"/>
        <v/>
      </c>
      <c r="O76" s="33" t="str">
        <f t="shared" si="17"/>
        <v/>
      </c>
      <c r="P76" s="33" t="str">
        <f t="shared" si="18"/>
        <v/>
      </c>
      <c r="Q76" s="34"/>
      <c r="R76" s="35"/>
    </row>
    <row r="77" spans="1:18" s="26" customFormat="1" ht="21.75" customHeight="1">
      <c r="A77" s="33">
        <v>64</v>
      </c>
      <c r="B77" s="36"/>
      <c r="C77" s="37"/>
      <c r="D77" s="37"/>
      <c r="E77" s="37"/>
      <c r="F77" s="37"/>
      <c r="G77" s="37"/>
      <c r="H77" s="37"/>
      <c r="I77" s="37"/>
      <c r="J77" s="37"/>
      <c r="K77" s="37"/>
      <c r="L77" s="37" t="str">
        <f t="shared" si="14"/>
        <v/>
      </c>
      <c r="M77" s="38" t="str">
        <f t="shared" si="15"/>
        <v/>
      </c>
      <c r="N77" s="38" t="str">
        <f t="shared" si="16"/>
        <v/>
      </c>
      <c r="O77" s="33" t="str">
        <f t="shared" si="17"/>
        <v/>
      </c>
      <c r="P77" s="33" t="str">
        <f t="shared" si="18"/>
        <v/>
      </c>
      <c r="Q77" s="34"/>
      <c r="R77" s="35"/>
    </row>
    <row r="78" spans="1:18" s="26" customFormat="1" ht="21.75" customHeight="1">
      <c r="A78" s="33">
        <v>65</v>
      </c>
      <c r="B78" s="36"/>
      <c r="C78" s="37"/>
      <c r="D78" s="37"/>
      <c r="E78" s="37"/>
      <c r="F78" s="37"/>
      <c r="G78" s="37"/>
      <c r="H78" s="37"/>
      <c r="I78" s="37"/>
      <c r="J78" s="37"/>
      <c r="K78" s="37"/>
      <c r="L78" s="37" t="str">
        <f t="shared" si="14"/>
        <v/>
      </c>
      <c r="M78" s="38" t="str">
        <f t="shared" si="15"/>
        <v/>
      </c>
      <c r="N78" s="38" t="str">
        <f t="shared" si="16"/>
        <v/>
      </c>
      <c r="O78" s="33" t="str">
        <f t="shared" si="17"/>
        <v/>
      </c>
      <c r="P78" s="33" t="str">
        <f t="shared" si="18"/>
        <v/>
      </c>
      <c r="Q78" s="34"/>
      <c r="R78" s="35" t="str">
        <f t="shared" ref="R78:R113" si="19">IF($B78="","",IF(OR($O78="ফেল",$O78="অনুপস্থিত",$O78="অসম্পূর্ণ"),"",$M78))</f>
        <v/>
      </c>
    </row>
    <row r="79" spans="1:18" s="26" customFormat="1" ht="21.75" customHeight="1">
      <c r="A79" s="33">
        <v>66</v>
      </c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 t="str">
        <f t="shared" si="14"/>
        <v/>
      </c>
      <c r="M79" s="38" t="str">
        <f t="shared" si="15"/>
        <v/>
      </c>
      <c r="N79" s="38" t="str">
        <f t="shared" si="16"/>
        <v/>
      </c>
      <c r="O79" s="33" t="str">
        <f t="shared" si="17"/>
        <v/>
      </c>
      <c r="P79" s="33" t="str">
        <f t="shared" si="18"/>
        <v/>
      </c>
      <c r="Q79" s="34"/>
      <c r="R79" s="35" t="str">
        <f t="shared" si="19"/>
        <v/>
      </c>
    </row>
    <row r="80" spans="1:18" s="26" customFormat="1" ht="21.75" customHeight="1">
      <c r="A80" s="33">
        <v>67</v>
      </c>
      <c r="B80" s="36"/>
      <c r="C80" s="37"/>
      <c r="D80" s="37"/>
      <c r="E80" s="37"/>
      <c r="F80" s="37"/>
      <c r="G80" s="37"/>
      <c r="H80" s="37"/>
      <c r="I80" s="37"/>
      <c r="J80" s="37"/>
      <c r="K80" s="37"/>
      <c r="L80" s="37" t="str">
        <f t="shared" si="14"/>
        <v/>
      </c>
      <c r="M80" s="38" t="str">
        <f t="shared" si="15"/>
        <v/>
      </c>
      <c r="N80" s="38" t="str">
        <f t="shared" si="16"/>
        <v/>
      </c>
      <c r="O80" s="33" t="str">
        <f t="shared" si="17"/>
        <v/>
      </c>
      <c r="P80" s="33" t="str">
        <f t="shared" si="18"/>
        <v/>
      </c>
      <c r="Q80" s="34" t="str">
        <f t="shared" ref="Q80:Q113" si="20">IF($B80="","",IF(OR($O80="ফেল",$O80="অনুপস্থিত",$O80="অসম্পূর্ণ"),"",1+SUMPRODUCT(($R$14:$R$113&lt;&gt;"")*($R$14:$R$113&gt;$R80)/COUNTIF($R$14:$R$113,$R$14:$R$113))))</f>
        <v/>
      </c>
      <c r="R80" s="35" t="str">
        <f t="shared" si="19"/>
        <v/>
      </c>
    </row>
    <row r="81" spans="1:18" s="26" customFormat="1" ht="21.75" customHeight="1">
      <c r="A81" s="33">
        <v>68</v>
      </c>
      <c r="B81" s="36"/>
      <c r="C81" s="37"/>
      <c r="D81" s="37"/>
      <c r="E81" s="37"/>
      <c r="F81" s="37"/>
      <c r="G81" s="37"/>
      <c r="H81" s="37"/>
      <c r="I81" s="37"/>
      <c r="J81" s="37"/>
      <c r="K81" s="37"/>
      <c r="L81" s="37" t="str">
        <f t="shared" si="14"/>
        <v/>
      </c>
      <c r="M81" s="38" t="str">
        <f t="shared" si="15"/>
        <v/>
      </c>
      <c r="N81" s="38" t="str">
        <f t="shared" si="16"/>
        <v/>
      </c>
      <c r="O81" s="33" t="str">
        <f t="shared" si="17"/>
        <v/>
      </c>
      <c r="P81" s="33" t="str">
        <f t="shared" si="18"/>
        <v/>
      </c>
      <c r="Q81" s="34" t="str">
        <f t="shared" si="20"/>
        <v/>
      </c>
      <c r="R81" s="35" t="str">
        <f t="shared" si="19"/>
        <v/>
      </c>
    </row>
    <row r="82" spans="1:18" s="26" customFormat="1" ht="21.75" customHeight="1">
      <c r="A82" s="33">
        <v>69</v>
      </c>
      <c r="B82" s="36"/>
      <c r="C82" s="37"/>
      <c r="D82" s="37"/>
      <c r="E82" s="37"/>
      <c r="F82" s="37"/>
      <c r="G82" s="37"/>
      <c r="H82" s="37"/>
      <c r="I82" s="37"/>
      <c r="J82" s="37"/>
      <c r="K82" s="37"/>
      <c r="L82" s="37" t="str">
        <f t="shared" si="14"/>
        <v/>
      </c>
      <c r="M82" s="38" t="str">
        <f t="shared" si="15"/>
        <v/>
      </c>
      <c r="N82" s="38" t="str">
        <f t="shared" si="16"/>
        <v/>
      </c>
      <c r="O82" s="33" t="str">
        <f t="shared" si="17"/>
        <v/>
      </c>
      <c r="P82" s="33" t="str">
        <f t="shared" si="18"/>
        <v/>
      </c>
      <c r="Q82" s="34" t="str">
        <f t="shared" si="20"/>
        <v/>
      </c>
      <c r="R82" s="35" t="str">
        <f t="shared" si="19"/>
        <v/>
      </c>
    </row>
    <row r="83" spans="1:18" s="26" customFormat="1" ht="21.75" customHeight="1">
      <c r="A83" s="33">
        <v>70</v>
      </c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37" t="str">
        <f t="shared" si="14"/>
        <v/>
      </c>
      <c r="M83" s="38" t="str">
        <f t="shared" si="15"/>
        <v/>
      </c>
      <c r="N83" s="38" t="str">
        <f t="shared" si="16"/>
        <v/>
      </c>
      <c r="O83" s="33" t="str">
        <f t="shared" si="17"/>
        <v/>
      </c>
      <c r="P83" s="33" t="str">
        <f t="shared" si="18"/>
        <v/>
      </c>
      <c r="Q83" s="34" t="str">
        <f t="shared" si="20"/>
        <v/>
      </c>
      <c r="R83" s="35" t="str">
        <f t="shared" si="19"/>
        <v/>
      </c>
    </row>
    <row r="84" spans="1:18" s="26" customFormat="1" ht="21.75" customHeight="1">
      <c r="A84" s="33">
        <v>71</v>
      </c>
      <c r="B84" s="36"/>
      <c r="C84" s="37"/>
      <c r="D84" s="37"/>
      <c r="E84" s="37"/>
      <c r="F84" s="37"/>
      <c r="G84" s="37"/>
      <c r="H84" s="37"/>
      <c r="I84" s="37"/>
      <c r="J84" s="37"/>
      <c r="K84" s="37"/>
      <c r="L84" s="37" t="str">
        <f t="shared" si="14"/>
        <v/>
      </c>
      <c r="M84" s="38" t="str">
        <f t="shared" si="15"/>
        <v/>
      </c>
      <c r="N84" s="38" t="str">
        <f t="shared" si="16"/>
        <v/>
      </c>
      <c r="O84" s="33" t="str">
        <f t="shared" si="17"/>
        <v/>
      </c>
      <c r="P84" s="33" t="str">
        <f t="shared" si="18"/>
        <v/>
      </c>
      <c r="Q84" s="34" t="str">
        <f t="shared" si="20"/>
        <v/>
      </c>
      <c r="R84" s="35" t="str">
        <f t="shared" si="19"/>
        <v/>
      </c>
    </row>
    <row r="85" spans="1:18" s="26" customFormat="1" ht="21.75" customHeight="1">
      <c r="A85" s="33">
        <v>72</v>
      </c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 t="str">
        <f t="shared" si="14"/>
        <v/>
      </c>
      <c r="M85" s="38" t="str">
        <f t="shared" si="15"/>
        <v/>
      </c>
      <c r="N85" s="38" t="str">
        <f t="shared" si="16"/>
        <v/>
      </c>
      <c r="O85" s="33" t="str">
        <f t="shared" si="17"/>
        <v/>
      </c>
      <c r="P85" s="33" t="str">
        <f t="shared" si="18"/>
        <v/>
      </c>
      <c r="Q85" s="34" t="str">
        <f t="shared" si="20"/>
        <v/>
      </c>
      <c r="R85" s="35" t="str">
        <f t="shared" si="19"/>
        <v/>
      </c>
    </row>
    <row r="86" spans="1:18" s="26" customFormat="1" ht="21.75" customHeight="1">
      <c r="A86" s="33">
        <v>73</v>
      </c>
      <c r="B86" s="36"/>
      <c r="C86" s="37"/>
      <c r="D86" s="37"/>
      <c r="E86" s="37"/>
      <c r="F86" s="37"/>
      <c r="G86" s="37"/>
      <c r="H86" s="37"/>
      <c r="I86" s="37"/>
      <c r="J86" s="37"/>
      <c r="K86" s="37"/>
      <c r="L86" s="37" t="str">
        <f t="shared" si="14"/>
        <v/>
      </c>
      <c r="M86" s="38" t="str">
        <f t="shared" si="15"/>
        <v/>
      </c>
      <c r="N86" s="38" t="str">
        <f t="shared" si="16"/>
        <v/>
      </c>
      <c r="O86" s="33" t="str">
        <f t="shared" si="17"/>
        <v/>
      </c>
      <c r="P86" s="33" t="str">
        <f t="shared" si="18"/>
        <v/>
      </c>
      <c r="Q86" s="34" t="str">
        <f t="shared" si="20"/>
        <v/>
      </c>
      <c r="R86" s="35" t="str">
        <f t="shared" si="19"/>
        <v/>
      </c>
    </row>
    <row r="87" spans="1:18" s="26" customFormat="1" ht="21.75" customHeight="1">
      <c r="A87" s="33">
        <v>74</v>
      </c>
      <c r="B87" s="36"/>
      <c r="C87" s="37"/>
      <c r="D87" s="37"/>
      <c r="E87" s="37"/>
      <c r="F87" s="37"/>
      <c r="G87" s="37"/>
      <c r="H87" s="37"/>
      <c r="I87" s="37"/>
      <c r="J87" s="37"/>
      <c r="K87" s="37"/>
      <c r="L87" s="37" t="str">
        <f t="shared" si="14"/>
        <v/>
      </c>
      <c r="M87" s="38" t="str">
        <f t="shared" si="15"/>
        <v/>
      </c>
      <c r="N87" s="38" t="str">
        <f t="shared" si="16"/>
        <v/>
      </c>
      <c r="O87" s="33" t="str">
        <f t="shared" si="17"/>
        <v/>
      </c>
      <c r="P87" s="33" t="str">
        <f t="shared" si="18"/>
        <v/>
      </c>
      <c r="Q87" s="34" t="str">
        <f t="shared" si="20"/>
        <v/>
      </c>
      <c r="R87" s="35" t="str">
        <f t="shared" si="19"/>
        <v/>
      </c>
    </row>
    <row r="88" spans="1:18" s="26" customFormat="1" ht="21.75" customHeight="1">
      <c r="A88" s="33">
        <v>75</v>
      </c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37" t="str">
        <f t="shared" si="14"/>
        <v/>
      </c>
      <c r="M88" s="38" t="str">
        <f t="shared" si="15"/>
        <v/>
      </c>
      <c r="N88" s="38" t="str">
        <f t="shared" si="16"/>
        <v/>
      </c>
      <c r="O88" s="33" t="str">
        <f t="shared" si="17"/>
        <v/>
      </c>
      <c r="P88" s="33" t="str">
        <f t="shared" si="18"/>
        <v/>
      </c>
      <c r="Q88" s="34" t="str">
        <f t="shared" si="20"/>
        <v/>
      </c>
      <c r="R88" s="35" t="str">
        <f t="shared" si="19"/>
        <v/>
      </c>
    </row>
    <row r="89" spans="1:18" s="26" customFormat="1" ht="21.75" customHeight="1">
      <c r="A89" s="33">
        <v>76</v>
      </c>
      <c r="B89" s="36"/>
      <c r="C89" s="37"/>
      <c r="D89" s="37"/>
      <c r="E89" s="37"/>
      <c r="F89" s="37"/>
      <c r="G89" s="37"/>
      <c r="H89" s="37"/>
      <c r="I89" s="37"/>
      <c r="J89" s="37"/>
      <c r="K89" s="37"/>
      <c r="L89" s="37" t="str">
        <f t="shared" si="14"/>
        <v/>
      </c>
      <c r="M89" s="38" t="str">
        <f t="shared" si="15"/>
        <v/>
      </c>
      <c r="N89" s="38" t="str">
        <f t="shared" si="16"/>
        <v/>
      </c>
      <c r="O89" s="33" t="str">
        <f t="shared" si="17"/>
        <v/>
      </c>
      <c r="P89" s="33" t="str">
        <f t="shared" si="18"/>
        <v/>
      </c>
      <c r="Q89" s="34" t="str">
        <f t="shared" si="20"/>
        <v/>
      </c>
      <c r="R89" s="35" t="str">
        <f t="shared" si="19"/>
        <v/>
      </c>
    </row>
    <row r="90" spans="1:18" s="26" customFormat="1" ht="21.75" customHeight="1">
      <c r="A90" s="33">
        <v>77</v>
      </c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37" t="str">
        <f t="shared" si="14"/>
        <v/>
      </c>
      <c r="M90" s="38" t="str">
        <f t="shared" si="15"/>
        <v/>
      </c>
      <c r="N90" s="38" t="str">
        <f t="shared" si="16"/>
        <v/>
      </c>
      <c r="O90" s="33" t="str">
        <f t="shared" si="17"/>
        <v/>
      </c>
      <c r="P90" s="33" t="str">
        <f t="shared" si="18"/>
        <v/>
      </c>
      <c r="Q90" s="34" t="str">
        <f t="shared" si="20"/>
        <v/>
      </c>
      <c r="R90" s="35" t="str">
        <f t="shared" si="19"/>
        <v/>
      </c>
    </row>
    <row r="91" spans="1:18" s="26" customFormat="1" ht="21.75" customHeight="1">
      <c r="A91" s="33">
        <v>78</v>
      </c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7" t="str">
        <f t="shared" si="14"/>
        <v/>
      </c>
      <c r="M91" s="38" t="str">
        <f t="shared" si="15"/>
        <v/>
      </c>
      <c r="N91" s="38" t="str">
        <f t="shared" si="16"/>
        <v/>
      </c>
      <c r="O91" s="33" t="str">
        <f t="shared" si="17"/>
        <v/>
      </c>
      <c r="P91" s="33" t="str">
        <f t="shared" si="18"/>
        <v/>
      </c>
      <c r="Q91" s="34" t="str">
        <f t="shared" si="20"/>
        <v/>
      </c>
      <c r="R91" s="35" t="str">
        <f t="shared" si="19"/>
        <v/>
      </c>
    </row>
    <row r="92" spans="1:18" s="26" customFormat="1" ht="21.75" customHeight="1">
      <c r="A92" s="33">
        <v>79</v>
      </c>
      <c r="B92" s="36"/>
      <c r="C92" s="37"/>
      <c r="D92" s="37"/>
      <c r="E92" s="37"/>
      <c r="F92" s="37"/>
      <c r="G92" s="37"/>
      <c r="H92" s="37"/>
      <c r="I92" s="37"/>
      <c r="J92" s="37"/>
      <c r="K92" s="37"/>
      <c r="L92" s="37" t="str">
        <f t="shared" si="14"/>
        <v/>
      </c>
      <c r="M92" s="38" t="str">
        <f t="shared" si="15"/>
        <v/>
      </c>
      <c r="N92" s="38" t="str">
        <f t="shared" si="16"/>
        <v/>
      </c>
      <c r="O92" s="33" t="str">
        <f t="shared" si="17"/>
        <v/>
      </c>
      <c r="P92" s="33" t="str">
        <f t="shared" si="18"/>
        <v/>
      </c>
      <c r="Q92" s="34" t="str">
        <f t="shared" si="20"/>
        <v/>
      </c>
      <c r="R92" s="35" t="str">
        <f t="shared" si="19"/>
        <v/>
      </c>
    </row>
    <row r="93" spans="1:18" s="26" customFormat="1" ht="21.75" customHeight="1">
      <c r="A93" s="33">
        <v>80</v>
      </c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 t="str">
        <f t="shared" si="14"/>
        <v/>
      </c>
      <c r="M93" s="38" t="str">
        <f t="shared" si="15"/>
        <v/>
      </c>
      <c r="N93" s="38" t="str">
        <f t="shared" si="16"/>
        <v/>
      </c>
      <c r="O93" s="33" t="str">
        <f t="shared" si="17"/>
        <v/>
      </c>
      <c r="P93" s="33" t="str">
        <f t="shared" si="18"/>
        <v/>
      </c>
      <c r="Q93" s="34" t="str">
        <f t="shared" si="20"/>
        <v/>
      </c>
      <c r="R93" s="35" t="str">
        <f t="shared" si="19"/>
        <v/>
      </c>
    </row>
    <row r="94" spans="1:18" s="26" customFormat="1" ht="21.75" customHeight="1">
      <c r="A94" s="33">
        <v>81</v>
      </c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 t="str">
        <f t="shared" si="14"/>
        <v/>
      </c>
      <c r="M94" s="38" t="str">
        <f t="shared" si="15"/>
        <v/>
      </c>
      <c r="N94" s="38" t="str">
        <f t="shared" si="16"/>
        <v/>
      </c>
      <c r="O94" s="33" t="str">
        <f t="shared" si="17"/>
        <v/>
      </c>
      <c r="P94" s="33" t="str">
        <f t="shared" si="18"/>
        <v/>
      </c>
      <c r="Q94" s="34" t="str">
        <f t="shared" si="20"/>
        <v/>
      </c>
      <c r="R94" s="35" t="str">
        <f t="shared" si="19"/>
        <v/>
      </c>
    </row>
    <row r="95" spans="1:18" s="26" customFormat="1" ht="21.75" customHeight="1">
      <c r="A95" s="33">
        <v>82</v>
      </c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37" t="str">
        <f t="shared" si="14"/>
        <v/>
      </c>
      <c r="M95" s="38" t="str">
        <f t="shared" si="15"/>
        <v/>
      </c>
      <c r="N95" s="38" t="str">
        <f t="shared" si="16"/>
        <v/>
      </c>
      <c r="O95" s="33" t="str">
        <f t="shared" si="17"/>
        <v/>
      </c>
      <c r="P95" s="33" t="str">
        <f t="shared" si="18"/>
        <v/>
      </c>
      <c r="Q95" s="34" t="str">
        <f t="shared" si="20"/>
        <v/>
      </c>
      <c r="R95" s="35" t="str">
        <f t="shared" si="19"/>
        <v/>
      </c>
    </row>
    <row r="96" spans="1:18" s="26" customFormat="1" ht="21.75" customHeight="1">
      <c r="A96" s="33">
        <v>83</v>
      </c>
      <c r="B96" s="36"/>
      <c r="C96" s="37"/>
      <c r="D96" s="37"/>
      <c r="E96" s="37"/>
      <c r="F96" s="37"/>
      <c r="G96" s="37"/>
      <c r="H96" s="37"/>
      <c r="I96" s="37"/>
      <c r="J96" s="37"/>
      <c r="K96" s="37"/>
      <c r="L96" s="37" t="str">
        <f t="shared" si="14"/>
        <v/>
      </c>
      <c r="M96" s="38" t="str">
        <f t="shared" si="15"/>
        <v/>
      </c>
      <c r="N96" s="38" t="str">
        <f t="shared" si="16"/>
        <v/>
      </c>
      <c r="O96" s="33" t="str">
        <f t="shared" si="17"/>
        <v/>
      </c>
      <c r="P96" s="33" t="str">
        <f t="shared" si="18"/>
        <v/>
      </c>
      <c r="Q96" s="34" t="str">
        <f t="shared" si="20"/>
        <v/>
      </c>
      <c r="R96" s="35" t="str">
        <f t="shared" si="19"/>
        <v/>
      </c>
    </row>
    <row r="97" spans="1:18" s="26" customFormat="1" ht="21.75" customHeight="1">
      <c r="A97" s="33">
        <v>84</v>
      </c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 t="str">
        <f t="shared" si="14"/>
        <v/>
      </c>
      <c r="M97" s="38" t="str">
        <f t="shared" si="15"/>
        <v/>
      </c>
      <c r="N97" s="38" t="str">
        <f t="shared" si="16"/>
        <v/>
      </c>
      <c r="O97" s="33" t="str">
        <f t="shared" si="17"/>
        <v/>
      </c>
      <c r="P97" s="33" t="str">
        <f t="shared" si="18"/>
        <v/>
      </c>
      <c r="Q97" s="34" t="str">
        <f t="shared" si="20"/>
        <v/>
      </c>
      <c r="R97" s="35" t="str">
        <f t="shared" si="19"/>
        <v/>
      </c>
    </row>
    <row r="98" spans="1:18" s="26" customFormat="1" ht="21.75" customHeight="1">
      <c r="A98" s="33">
        <v>85</v>
      </c>
      <c r="B98" s="36"/>
      <c r="C98" s="37"/>
      <c r="D98" s="37"/>
      <c r="E98" s="37"/>
      <c r="F98" s="37"/>
      <c r="G98" s="37"/>
      <c r="H98" s="37"/>
      <c r="I98" s="37"/>
      <c r="J98" s="37"/>
      <c r="K98" s="37"/>
      <c r="L98" s="37" t="str">
        <f t="shared" si="14"/>
        <v/>
      </c>
      <c r="M98" s="38" t="str">
        <f t="shared" si="15"/>
        <v/>
      </c>
      <c r="N98" s="38" t="str">
        <f t="shared" si="16"/>
        <v/>
      </c>
      <c r="O98" s="33" t="str">
        <f t="shared" si="17"/>
        <v/>
      </c>
      <c r="P98" s="33" t="str">
        <f t="shared" si="18"/>
        <v/>
      </c>
      <c r="Q98" s="34" t="str">
        <f t="shared" si="20"/>
        <v/>
      </c>
      <c r="R98" s="35" t="str">
        <f t="shared" si="19"/>
        <v/>
      </c>
    </row>
    <row r="99" spans="1:18" s="26" customFormat="1" ht="21.75" customHeight="1">
      <c r="A99" s="33">
        <v>86</v>
      </c>
      <c r="B99" s="36"/>
      <c r="C99" s="37"/>
      <c r="D99" s="37"/>
      <c r="E99" s="37"/>
      <c r="F99" s="37"/>
      <c r="G99" s="37"/>
      <c r="H99" s="37"/>
      <c r="I99" s="37"/>
      <c r="J99" s="37"/>
      <c r="K99" s="37"/>
      <c r="L99" s="37" t="str">
        <f t="shared" si="14"/>
        <v/>
      </c>
      <c r="M99" s="38" t="str">
        <f t="shared" si="15"/>
        <v/>
      </c>
      <c r="N99" s="38" t="str">
        <f t="shared" si="16"/>
        <v/>
      </c>
      <c r="O99" s="33" t="str">
        <f t="shared" si="17"/>
        <v/>
      </c>
      <c r="P99" s="33" t="str">
        <f t="shared" si="18"/>
        <v/>
      </c>
      <c r="Q99" s="34" t="str">
        <f t="shared" si="20"/>
        <v/>
      </c>
      <c r="R99" s="35" t="str">
        <f t="shared" si="19"/>
        <v/>
      </c>
    </row>
    <row r="100" spans="1:18" s="26" customFormat="1" ht="21.75" customHeight="1">
      <c r="A100" s="33">
        <v>87</v>
      </c>
      <c r="B100" s="36"/>
      <c r="C100" s="37"/>
      <c r="D100" s="37"/>
      <c r="E100" s="37"/>
      <c r="F100" s="37"/>
      <c r="G100" s="37"/>
      <c r="H100" s="37"/>
      <c r="I100" s="37"/>
      <c r="J100" s="37"/>
      <c r="K100" s="37"/>
      <c r="L100" s="37" t="str">
        <f t="shared" si="14"/>
        <v/>
      </c>
      <c r="M100" s="38" t="str">
        <f t="shared" si="15"/>
        <v/>
      </c>
      <c r="N100" s="38" t="str">
        <f t="shared" si="16"/>
        <v/>
      </c>
      <c r="O100" s="33" t="str">
        <f t="shared" si="17"/>
        <v/>
      </c>
      <c r="P100" s="33" t="str">
        <f t="shared" si="18"/>
        <v/>
      </c>
      <c r="Q100" s="34" t="str">
        <f t="shared" si="20"/>
        <v/>
      </c>
      <c r="R100" s="35" t="str">
        <f t="shared" si="19"/>
        <v/>
      </c>
    </row>
    <row r="101" spans="1:18" s="26" customFormat="1" ht="21.75" customHeight="1">
      <c r="A101" s="33">
        <v>88</v>
      </c>
      <c r="B101" s="36"/>
      <c r="C101" s="37"/>
      <c r="D101" s="37"/>
      <c r="E101" s="37"/>
      <c r="F101" s="37"/>
      <c r="G101" s="37"/>
      <c r="H101" s="37"/>
      <c r="I101" s="37"/>
      <c r="J101" s="37"/>
      <c r="K101" s="37"/>
      <c r="L101" s="37" t="str">
        <f t="shared" si="14"/>
        <v/>
      </c>
      <c r="M101" s="38" t="str">
        <f t="shared" si="15"/>
        <v/>
      </c>
      <c r="N101" s="38" t="str">
        <f t="shared" si="16"/>
        <v/>
      </c>
      <c r="O101" s="33" t="str">
        <f t="shared" si="17"/>
        <v/>
      </c>
      <c r="P101" s="33" t="str">
        <f t="shared" si="18"/>
        <v/>
      </c>
      <c r="Q101" s="34" t="str">
        <f t="shared" si="20"/>
        <v/>
      </c>
      <c r="R101" s="35" t="str">
        <f t="shared" si="19"/>
        <v/>
      </c>
    </row>
    <row r="102" spans="1:18" s="26" customFormat="1" ht="21.75" customHeight="1">
      <c r="A102" s="33">
        <v>89</v>
      </c>
      <c r="B102" s="36"/>
      <c r="C102" s="37"/>
      <c r="D102" s="37"/>
      <c r="E102" s="37"/>
      <c r="F102" s="37"/>
      <c r="G102" s="37"/>
      <c r="H102" s="37"/>
      <c r="I102" s="37"/>
      <c r="J102" s="37"/>
      <c r="K102" s="37"/>
      <c r="L102" s="37" t="str">
        <f t="shared" si="14"/>
        <v/>
      </c>
      <c r="M102" s="38" t="str">
        <f t="shared" si="15"/>
        <v/>
      </c>
      <c r="N102" s="38" t="str">
        <f t="shared" si="16"/>
        <v/>
      </c>
      <c r="O102" s="33" t="str">
        <f t="shared" si="17"/>
        <v/>
      </c>
      <c r="P102" s="33" t="str">
        <f t="shared" si="18"/>
        <v/>
      </c>
      <c r="Q102" s="34" t="str">
        <f t="shared" si="20"/>
        <v/>
      </c>
      <c r="R102" s="35" t="str">
        <f t="shared" si="19"/>
        <v/>
      </c>
    </row>
    <row r="103" spans="1:18" s="26" customFormat="1" ht="21.75" customHeight="1">
      <c r="A103" s="33">
        <v>90</v>
      </c>
      <c r="B103" s="36"/>
      <c r="C103" s="37"/>
      <c r="D103" s="37"/>
      <c r="E103" s="37"/>
      <c r="F103" s="37"/>
      <c r="G103" s="37"/>
      <c r="H103" s="37"/>
      <c r="I103" s="37"/>
      <c r="J103" s="37"/>
      <c r="K103" s="37"/>
      <c r="L103" s="37" t="str">
        <f t="shared" si="14"/>
        <v/>
      </c>
      <c r="M103" s="38" t="str">
        <f t="shared" si="15"/>
        <v/>
      </c>
      <c r="N103" s="38" t="str">
        <f t="shared" si="16"/>
        <v/>
      </c>
      <c r="O103" s="33" t="str">
        <f t="shared" si="17"/>
        <v/>
      </c>
      <c r="P103" s="33" t="str">
        <f t="shared" si="18"/>
        <v/>
      </c>
      <c r="Q103" s="34" t="str">
        <f t="shared" si="20"/>
        <v/>
      </c>
      <c r="R103" s="35" t="str">
        <f t="shared" si="19"/>
        <v/>
      </c>
    </row>
    <row r="104" spans="1:18" s="26" customFormat="1" ht="21.75" customHeight="1">
      <c r="A104" s="33">
        <v>91</v>
      </c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37" t="str">
        <f t="shared" si="14"/>
        <v/>
      </c>
      <c r="M104" s="38" t="str">
        <f t="shared" si="15"/>
        <v/>
      </c>
      <c r="N104" s="38" t="str">
        <f t="shared" si="16"/>
        <v/>
      </c>
      <c r="O104" s="33" t="str">
        <f t="shared" si="17"/>
        <v/>
      </c>
      <c r="P104" s="33" t="str">
        <f t="shared" si="18"/>
        <v/>
      </c>
      <c r="Q104" s="34" t="str">
        <f t="shared" si="20"/>
        <v/>
      </c>
      <c r="R104" s="35" t="str">
        <f t="shared" si="19"/>
        <v/>
      </c>
    </row>
    <row r="105" spans="1:18" s="26" customFormat="1" ht="21.75" customHeight="1">
      <c r="A105" s="33">
        <v>92</v>
      </c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 t="str">
        <f t="shared" si="14"/>
        <v/>
      </c>
      <c r="M105" s="38" t="str">
        <f t="shared" si="15"/>
        <v/>
      </c>
      <c r="N105" s="38" t="str">
        <f t="shared" si="16"/>
        <v/>
      </c>
      <c r="O105" s="33" t="str">
        <f t="shared" si="17"/>
        <v/>
      </c>
      <c r="P105" s="33" t="str">
        <f t="shared" si="18"/>
        <v/>
      </c>
      <c r="Q105" s="34" t="str">
        <f t="shared" si="20"/>
        <v/>
      </c>
      <c r="R105" s="35" t="str">
        <f t="shared" si="19"/>
        <v/>
      </c>
    </row>
    <row r="106" spans="1:18" s="26" customFormat="1" ht="21.75" customHeight="1">
      <c r="A106" s="33">
        <v>93</v>
      </c>
      <c r="B106" s="36"/>
      <c r="C106" s="37"/>
      <c r="D106" s="37"/>
      <c r="E106" s="37"/>
      <c r="F106" s="37"/>
      <c r="G106" s="37"/>
      <c r="H106" s="37"/>
      <c r="I106" s="37"/>
      <c r="J106" s="37"/>
      <c r="K106" s="37"/>
      <c r="L106" s="37" t="str">
        <f t="shared" si="14"/>
        <v/>
      </c>
      <c r="M106" s="38" t="str">
        <f t="shared" si="15"/>
        <v/>
      </c>
      <c r="N106" s="38" t="str">
        <f t="shared" si="16"/>
        <v/>
      </c>
      <c r="O106" s="33" t="str">
        <f t="shared" si="17"/>
        <v/>
      </c>
      <c r="P106" s="33" t="str">
        <f t="shared" si="18"/>
        <v/>
      </c>
      <c r="Q106" s="34" t="str">
        <f t="shared" si="20"/>
        <v/>
      </c>
      <c r="R106" s="35" t="str">
        <f t="shared" si="19"/>
        <v/>
      </c>
    </row>
    <row r="107" spans="1:18" s="26" customFormat="1" ht="21.75" customHeight="1">
      <c r="A107" s="33">
        <v>94</v>
      </c>
      <c r="B107" s="36"/>
      <c r="C107" s="37"/>
      <c r="D107" s="37"/>
      <c r="E107" s="37"/>
      <c r="F107" s="37"/>
      <c r="G107" s="37"/>
      <c r="H107" s="37"/>
      <c r="I107" s="37"/>
      <c r="J107" s="37"/>
      <c r="K107" s="37"/>
      <c r="L107" s="37" t="str">
        <f t="shared" si="14"/>
        <v/>
      </c>
      <c r="M107" s="38" t="str">
        <f t="shared" si="15"/>
        <v/>
      </c>
      <c r="N107" s="38" t="str">
        <f t="shared" si="16"/>
        <v/>
      </c>
      <c r="O107" s="33" t="str">
        <f t="shared" si="17"/>
        <v/>
      </c>
      <c r="P107" s="33" t="str">
        <f t="shared" si="18"/>
        <v/>
      </c>
      <c r="Q107" s="34" t="str">
        <f t="shared" si="20"/>
        <v/>
      </c>
      <c r="R107" s="35" t="str">
        <f t="shared" si="19"/>
        <v/>
      </c>
    </row>
    <row r="108" spans="1:18" s="26" customFormat="1" ht="21.75" customHeight="1">
      <c r="A108" s="33">
        <v>95</v>
      </c>
      <c r="B108" s="36"/>
      <c r="C108" s="37"/>
      <c r="D108" s="37"/>
      <c r="E108" s="37"/>
      <c r="F108" s="37"/>
      <c r="G108" s="37"/>
      <c r="H108" s="37"/>
      <c r="I108" s="37"/>
      <c r="J108" s="37"/>
      <c r="K108" s="37"/>
      <c r="L108" s="37" t="str">
        <f t="shared" si="14"/>
        <v/>
      </c>
      <c r="M108" s="38" t="str">
        <f t="shared" si="15"/>
        <v/>
      </c>
      <c r="N108" s="38" t="str">
        <f t="shared" si="16"/>
        <v/>
      </c>
      <c r="O108" s="33" t="str">
        <f t="shared" si="17"/>
        <v/>
      </c>
      <c r="P108" s="33" t="str">
        <f t="shared" si="18"/>
        <v/>
      </c>
      <c r="Q108" s="34" t="str">
        <f t="shared" si="20"/>
        <v/>
      </c>
      <c r="R108" s="35" t="str">
        <f t="shared" si="19"/>
        <v/>
      </c>
    </row>
    <row r="109" spans="1:18" s="26" customFormat="1" ht="21.75" customHeight="1">
      <c r="A109" s="33">
        <v>96</v>
      </c>
      <c r="B109" s="36"/>
      <c r="C109" s="37"/>
      <c r="D109" s="37"/>
      <c r="E109" s="37"/>
      <c r="F109" s="37"/>
      <c r="G109" s="37"/>
      <c r="H109" s="37"/>
      <c r="I109" s="37"/>
      <c r="J109" s="37"/>
      <c r="K109" s="37"/>
      <c r="L109" s="37" t="str">
        <f t="shared" si="14"/>
        <v/>
      </c>
      <c r="M109" s="38" t="str">
        <f t="shared" si="15"/>
        <v/>
      </c>
      <c r="N109" s="38" t="str">
        <f t="shared" si="16"/>
        <v/>
      </c>
      <c r="O109" s="33" t="str">
        <f t="shared" si="17"/>
        <v/>
      </c>
      <c r="P109" s="33" t="str">
        <f t="shared" si="18"/>
        <v/>
      </c>
      <c r="Q109" s="34" t="str">
        <f t="shared" si="20"/>
        <v/>
      </c>
      <c r="R109" s="35" t="str">
        <f t="shared" si="19"/>
        <v/>
      </c>
    </row>
    <row r="110" spans="1:18" s="26" customFormat="1" ht="21.75" customHeight="1">
      <c r="A110" s="33">
        <v>97</v>
      </c>
      <c r="B110" s="36"/>
      <c r="C110" s="37"/>
      <c r="D110" s="37"/>
      <c r="E110" s="37"/>
      <c r="F110" s="37"/>
      <c r="G110" s="37"/>
      <c r="H110" s="37"/>
      <c r="I110" s="37"/>
      <c r="J110" s="37"/>
      <c r="K110" s="37"/>
      <c r="L110" s="37" t="str">
        <f t="shared" si="14"/>
        <v/>
      </c>
      <c r="M110" s="38" t="str">
        <f t="shared" si="15"/>
        <v/>
      </c>
      <c r="N110" s="38" t="str">
        <f t="shared" si="16"/>
        <v/>
      </c>
      <c r="O110" s="33" t="str">
        <f t="shared" si="17"/>
        <v/>
      </c>
      <c r="P110" s="33" t="str">
        <f t="shared" si="18"/>
        <v/>
      </c>
      <c r="Q110" s="34" t="str">
        <f t="shared" si="20"/>
        <v/>
      </c>
      <c r="R110" s="35" t="str">
        <f t="shared" si="19"/>
        <v/>
      </c>
    </row>
    <row r="111" spans="1:18" s="26" customFormat="1" ht="21.75" customHeight="1">
      <c r="A111" s="33">
        <v>98</v>
      </c>
      <c r="B111" s="36"/>
      <c r="C111" s="37"/>
      <c r="D111" s="37"/>
      <c r="E111" s="37"/>
      <c r="F111" s="37"/>
      <c r="G111" s="37"/>
      <c r="H111" s="37"/>
      <c r="I111" s="37"/>
      <c r="J111" s="37"/>
      <c r="K111" s="37"/>
      <c r="L111" s="37" t="str">
        <f t="shared" si="14"/>
        <v/>
      </c>
      <c r="M111" s="38" t="str">
        <f t="shared" si="15"/>
        <v/>
      </c>
      <c r="N111" s="38" t="str">
        <f t="shared" si="16"/>
        <v/>
      </c>
      <c r="O111" s="33" t="str">
        <f t="shared" si="17"/>
        <v/>
      </c>
      <c r="P111" s="33" t="str">
        <f t="shared" si="18"/>
        <v/>
      </c>
      <c r="Q111" s="34" t="str">
        <f t="shared" si="20"/>
        <v/>
      </c>
      <c r="R111" s="35" t="str">
        <f t="shared" si="19"/>
        <v/>
      </c>
    </row>
    <row r="112" spans="1:18" s="26" customFormat="1" ht="21.75" customHeight="1">
      <c r="A112" s="33">
        <v>99</v>
      </c>
      <c r="B112" s="36"/>
      <c r="C112" s="37"/>
      <c r="D112" s="37"/>
      <c r="E112" s="37"/>
      <c r="F112" s="37"/>
      <c r="G112" s="37"/>
      <c r="H112" s="37"/>
      <c r="I112" s="37"/>
      <c r="J112" s="37"/>
      <c r="K112" s="37"/>
      <c r="L112" s="37" t="str">
        <f t="shared" si="14"/>
        <v/>
      </c>
      <c r="M112" s="38" t="str">
        <f t="shared" si="15"/>
        <v/>
      </c>
      <c r="N112" s="38" t="str">
        <f t="shared" si="16"/>
        <v/>
      </c>
      <c r="O112" s="33" t="str">
        <f t="shared" si="17"/>
        <v/>
      </c>
      <c r="P112" s="33" t="str">
        <f t="shared" si="18"/>
        <v/>
      </c>
      <c r="Q112" s="34" t="str">
        <f t="shared" si="20"/>
        <v/>
      </c>
      <c r="R112" s="35" t="str">
        <f t="shared" si="19"/>
        <v/>
      </c>
    </row>
    <row r="113" spans="1:18" s="26" customFormat="1" ht="21.75" customHeight="1">
      <c r="A113" s="33">
        <v>100</v>
      </c>
      <c r="B113" s="36"/>
      <c r="C113" s="37"/>
      <c r="D113" s="37"/>
      <c r="E113" s="37"/>
      <c r="F113" s="37"/>
      <c r="G113" s="37"/>
      <c r="H113" s="37"/>
      <c r="I113" s="37"/>
      <c r="J113" s="37"/>
      <c r="K113" s="37"/>
      <c r="L113" s="37" t="str">
        <f t="shared" si="14"/>
        <v/>
      </c>
      <c r="M113" s="38" t="str">
        <f t="shared" si="15"/>
        <v/>
      </c>
      <c r="N113" s="38" t="str">
        <f t="shared" si="16"/>
        <v/>
      </c>
      <c r="O113" s="33" t="str">
        <f t="shared" si="17"/>
        <v/>
      </c>
      <c r="P113" s="33" t="str">
        <f t="shared" si="18"/>
        <v/>
      </c>
      <c r="Q113" s="34" t="str">
        <f t="shared" si="20"/>
        <v/>
      </c>
      <c r="R113" s="35" t="str">
        <f t="shared" si="19"/>
        <v/>
      </c>
    </row>
    <row r="114" spans="1:18" s="26" customFormat="1" ht="1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</row>
    <row r="115" spans="1:18" s="26" customFormat="1" ht="1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</row>
    <row r="116" spans="1:18" s="26" customFormat="1" ht="15" customHeight="1">
      <c r="A116" s="117" t="s">
        <v>58</v>
      </c>
      <c r="B116" s="117"/>
      <c r="C116" s="117"/>
      <c r="D116" s="117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</row>
    <row r="117" spans="1:18" s="26" customFormat="1" ht="15" customHeight="1">
      <c r="A117" s="40" t="s">
        <v>3</v>
      </c>
      <c r="B117" s="40" t="s">
        <v>4</v>
      </c>
      <c r="C117" s="40">
        <v>5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1:18" s="26" customFormat="1" ht="15" customHeight="1">
      <c r="A118" s="40" t="s">
        <v>6</v>
      </c>
      <c r="B118" s="40" t="s">
        <v>7</v>
      </c>
      <c r="C118" s="40">
        <v>4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</row>
    <row r="119" spans="1:18" s="26" customFormat="1" ht="15" customHeight="1">
      <c r="A119" s="40" t="s">
        <v>59</v>
      </c>
      <c r="B119" s="40" t="s">
        <v>9</v>
      </c>
      <c r="C119" s="40">
        <v>3.5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</row>
    <row r="120" spans="1:18" s="26" customFormat="1" ht="15" customHeight="1">
      <c r="A120" s="40" t="s">
        <v>60</v>
      </c>
      <c r="B120" s="40" t="s">
        <v>11</v>
      </c>
      <c r="C120" s="40">
        <v>3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</row>
    <row r="121" spans="1:18" s="26" customFormat="1" ht="15" customHeight="1">
      <c r="A121" s="40" t="s">
        <v>61</v>
      </c>
      <c r="B121" s="40" t="s">
        <v>13</v>
      </c>
      <c r="C121" s="40">
        <v>2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1:18" s="26" customFormat="1" ht="15" customHeight="1">
      <c r="A122" s="40" t="s">
        <v>62</v>
      </c>
      <c r="B122" s="40" t="s">
        <v>15</v>
      </c>
      <c r="C122" s="40">
        <v>1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</row>
    <row r="123" spans="1:18" s="26" customFormat="1" ht="15" customHeight="1">
      <c r="A123" s="40" t="s">
        <v>17</v>
      </c>
      <c r="B123" s="40" t="s">
        <v>18</v>
      </c>
      <c r="C123" s="40">
        <v>0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</row>
    <row r="124" spans="1:18" s="26" customFormat="1" ht="15" customHeight="1">
      <c r="A124" s="118" t="s">
        <v>63</v>
      </c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39"/>
      <c r="R124" s="39"/>
    </row>
    <row r="125" spans="1:18" s="26" customFormat="1" ht="1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</sheetData>
  <mergeCells count="9">
    <mergeCell ref="A116:D116"/>
    <mergeCell ref="A124:P124"/>
    <mergeCell ref="N1:P1"/>
    <mergeCell ref="N4:P4"/>
    <mergeCell ref="C6:M7"/>
    <mergeCell ref="A10:B11"/>
    <mergeCell ref="D10:F11"/>
    <mergeCell ref="G10:G11"/>
    <mergeCell ref="H10:L11"/>
  </mergeCells>
  <conditionalFormatting sqref="O14:O31">
    <cfRule type="cellIs" dxfId="4" priority="2" operator="equal">
      <formula>"ফেল"</formula>
    </cfRule>
  </conditionalFormatting>
  <conditionalFormatting sqref="O32:O37">
    <cfRule type="cellIs" dxfId="16" priority="3" operator="equal">
      <formula>"ফেল"</formula>
    </cfRule>
  </conditionalFormatting>
  <conditionalFormatting sqref="O38:O113">
    <cfRule type="cellIs" dxfId="15" priority="4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topLeftCell="A3" zoomScale="77" zoomScaleNormal="77" workbookViewId="0">
      <selection activeCell="C6" sqref="C6:M7"/>
    </sheetView>
  </sheetViews>
  <sheetFormatPr defaultColWidth="10" defaultRowHeight="12.75" customHeight="1" zeroHeight="1"/>
  <cols>
    <col min="1" max="1" width="6.85546875" style="51" customWidth="1"/>
    <col min="2" max="2" width="25.140625" style="51" customWidth="1"/>
    <col min="3" max="8" width="10.7109375" style="51" customWidth="1"/>
    <col min="9" max="9" width="10.5703125" style="51" customWidth="1"/>
    <col min="10" max="10" width="10.42578125" style="51" customWidth="1"/>
    <col min="11" max="11" width="10.7109375" style="51" customWidth="1"/>
    <col min="12" max="13" width="11.5703125" style="51" customWidth="1"/>
    <col min="14" max="14" width="11" style="51" customWidth="1"/>
    <col min="15" max="15" width="10.7109375" style="51" customWidth="1"/>
    <col min="16" max="16" width="11.42578125" style="51" customWidth="1"/>
    <col min="17" max="17" width="10" style="51" hidden="1"/>
    <col min="18" max="18" width="13" style="51" hidden="1" customWidth="1"/>
    <col min="19" max="16384" width="10" style="52"/>
  </cols>
  <sheetData>
    <row r="1" spans="1:19" ht="19.5" hidden="1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129"/>
      <c r="O1" s="129"/>
      <c r="P1" s="129"/>
    </row>
    <row r="2" spans="1:19" ht="8.25" hidden="1" customHeight="1">
      <c r="A2" s="53"/>
      <c r="B2" s="53"/>
      <c r="N2" s="54"/>
      <c r="O2" s="55"/>
      <c r="P2" s="56"/>
    </row>
    <row r="3" spans="1:19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/>
      <c r="O3" s="4"/>
      <c r="P3" s="4"/>
    </row>
    <row r="4" spans="1:19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83" t="s">
        <v>2</v>
      </c>
      <c r="O4" s="183"/>
      <c r="P4" s="183"/>
    </row>
    <row r="5" spans="1:19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84" t="s">
        <v>3</v>
      </c>
      <c r="O5" s="184" t="s">
        <v>4</v>
      </c>
      <c r="P5" s="184">
        <v>5</v>
      </c>
    </row>
    <row r="6" spans="1:19" ht="21" customHeight="1">
      <c r="A6" s="2"/>
      <c r="B6" s="2"/>
      <c r="C6" s="217" t="s">
        <v>203</v>
      </c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84" t="s">
        <v>6</v>
      </c>
      <c r="O6" s="184" t="s">
        <v>7</v>
      </c>
      <c r="P6" s="184">
        <v>4</v>
      </c>
    </row>
    <row r="7" spans="1:19" ht="21" customHeight="1">
      <c r="A7" s="2"/>
      <c r="B7" s="2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84" t="s">
        <v>8</v>
      </c>
      <c r="O7" s="184" t="s">
        <v>9</v>
      </c>
      <c r="P7" s="184">
        <v>3.5</v>
      </c>
    </row>
    <row r="8" spans="1:19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84" t="s">
        <v>10</v>
      </c>
      <c r="O8" s="184" t="s">
        <v>11</v>
      </c>
      <c r="P8" s="184">
        <v>3</v>
      </c>
    </row>
    <row r="9" spans="1:19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84" t="s">
        <v>12</v>
      </c>
      <c r="O9" s="184" t="s">
        <v>13</v>
      </c>
      <c r="P9" s="184">
        <v>2</v>
      </c>
    </row>
    <row r="10" spans="1:19" ht="21" customHeight="1">
      <c r="A10" s="122"/>
      <c r="B10" s="122"/>
      <c r="C10" s="13"/>
      <c r="D10" s="123"/>
      <c r="E10" s="123"/>
      <c r="F10" s="123"/>
      <c r="G10" s="124"/>
      <c r="H10" s="125"/>
      <c r="I10" s="125"/>
      <c r="J10" s="125"/>
      <c r="K10" s="125"/>
      <c r="L10" s="125"/>
      <c r="M10" s="14"/>
      <c r="N10" s="184" t="s">
        <v>14</v>
      </c>
      <c r="O10" s="184" t="s">
        <v>15</v>
      </c>
      <c r="P10" s="184">
        <v>1</v>
      </c>
      <c r="S10" s="51" t="s">
        <v>16</v>
      </c>
    </row>
    <row r="11" spans="1:19" ht="19.5" customHeight="1">
      <c r="A11" s="122"/>
      <c r="B11" s="122"/>
      <c r="C11" s="13"/>
      <c r="D11" s="123"/>
      <c r="E11" s="123"/>
      <c r="F11" s="123"/>
      <c r="G11" s="124"/>
      <c r="H11" s="125"/>
      <c r="I11" s="125"/>
      <c r="J11" s="125"/>
      <c r="K11" s="125"/>
      <c r="L11" s="125"/>
      <c r="M11" s="14"/>
      <c r="N11" s="184" t="s">
        <v>17</v>
      </c>
      <c r="O11" s="184" t="s">
        <v>18</v>
      </c>
      <c r="P11" s="184">
        <v>0</v>
      </c>
    </row>
    <row r="12" spans="1:19" ht="6.7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</row>
    <row r="13" spans="1:19" s="58" customFormat="1" ht="60.75" customHeight="1" thickBot="1">
      <c r="A13" s="154" t="s">
        <v>19</v>
      </c>
      <c r="B13" s="155" t="s">
        <v>20</v>
      </c>
      <c r="C13" s="156" t="s">
        <v>21</v>
      </c>
      <c r="D13" s="155" t="s">
        <v>22</v>
      </c>
      <c r="E13" s="156" t="s">
        <v>23</v>
      </c>
      <c r="F13" s="155" t="s">
        <v>24</v>
      </c>
      <c r="G13" s="156" t="s">
        <v>25</v>
      </c>
      <c r="H13" s="155" t="s">
        <v>87</v>
      </c>
      <c r="I13" s="157" t="s">
        <v>67</v>
      </c>
      <c r="J13" s="158" t="s">
        <v>88</v>
      </c>
      <c r="K13" s="156" t="s">
        <v>68</v>
      </c>
      <c r="L13" s="155" t="s">
        <v>29</v>
      </c>
      <c r="M13" s="156" t="s">
        <v>30</v>
      </c>
      <c r="N13" s="155" t="s">
        <v>31</v>
      </c>
      <c r="O13" s="156" t="s">
        <v>32</v>
      </c>
      <c r="P13" s="159" t="s">
        <v>33</v>
      </c>
    </row>
    <row r="14" spans="1:19" ht="30" customHeight="1" thickBot="1">
      <c r="A14" s="160">
        <v>1</v>
      </c>
      <c r="B14" s="138" t="s">
        <v>89</v>
      </c>
      <c r="C14" s="161">
        <v>100</v>
      </c>
      <c r="D14" s="162">
        <v>98</v>
      </c>
      <c r="E14" s="162">
        <v>99</v>
      </c>
      <c r="F14" s="162">
        <v>98</v>
      </c>
      <c r="G14" s="162">
        <v>87</v>
      </c>
      <c r="H14" s="162">
        <v>98</v>
      </c>
      <c r="I14" s="162">
        <v>98</v>
      </c>
      <c r="J14" s="162">
        <v>95</v>
      </c>
      <c r="K14" s="163">
        <v>100</v>
      </c>
      <c r="L14" s="163">
        <f t="shared" ref="L14:L45" si="0">IF($B14="","",IF(COUNT(C14:K14)=0,"",SUM(C14:K14)))</f>
        <v>873</v>
      </c>
      <c r="M14" s="164">
        <f t="shared" ref="M14:M45" si="1">IF($B14="","",IF(COUNT(C14:K14)=0,"",ROUND(SUM(C14:K14)/COLUMNS(C14:K14),2)))</f>
        <v>97</v>
      </c>
      <c r="N14" s="165">
        <f t="shared" ref="N14:N45" si="2">IF($B14="","",IF(COUNT(C14:K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+IF(ISNUMBER(K14),IF(K14&gt;=80,5,IF(K14&gt;=70,4,IF(K14&gt;=60,3.5,IF(K14&gt;=50,3,IF(K14&gt;=40,2,IF(K14&gt;=33,1,0)))))),0))/COLUMNS(C14:K14),2)))</f>
        <v>5</v>
      </c>
      <c r="O14" s="166" t="str">
        <f t="shared" ref="O14:O45" si="3">IF($B14="","",IF(N14="","",IF(N14=0,"Fail",IF(N14=5,"A+",IF(N14&gt;=4,"A",IF(N14&gt;=3.5,"A-",IF(N14&gt;=3,"B",IF(N14&gt;=2,"C",IF(N14&gt;=1,"D","F")))))))))</f>
        <v>A+</v>
      </c>
      <c r="P14" s="167" t="str">
        <f t="shared" ref="P14:P45" si="4">IF($B14="","",IF($Q14="","",IF($Q14=1,"1g",IF($Q14=2,"2q",IF($Q14=3,"3q",$Q14)))))</f>
        <v>2q</v>
      </c>
      <c r="Q14" s="59">
        <f t="shared" ref="Q14:Q45" si="5">IF($B14="","",IF(OR($O14="ফেল",$O14="অনুপস্থিত",$O14="অসম্পূর্ণ"),"",1+SUMPRODUCT(($R$14:$R$63&lt;&gt;"")*($R$14:$R$63&gt;R14)/COUNTIF($R$14:$R$63,$R$14:$R$63))))</f>
        <v>2</v>
      </c>
      <c r="R14" s="60">
        <f t="shared" ref="R14:R45" si="6">IF($B14="","",M14)</f>
        <v>97</v>
      </c>
    </row>
    <row r="15" spans="1:19" ht="30" customHeight="1" thickBot="1">
      <c r="A15" s="168">
        <v>2</v>
      </c>
      <c r="B15" s="138" t="s">
        <v>90</v>
      </c>
      <c r="C15" s="161">
        <v>95</v>
      </c>
      <c r="D15" s="162">
        <v>100</v>
      </c>
      <c r="E15" s="162">
        <v>100</v>
      </c>
      <c r="F15" s="162">
        <v>94</v>
      </c>
      <c r="G15" s="162">
        <v>95</v>
      </c>
      <c r="H15" s="162">
        <v>100</v>
      </c>
      <c r="I15" s="162">
        <v>99</v>
      </c>
      <c r="J15" s="162">
        <v>97</v>
      </c>
      <c r="K15" s="162">
        <v>100</v>
      </c>
      <c r="L15" s="162">
        <f t="shared" si="0"/>
        <v>880</v>
      </c>
      <c r="M15" s="164">
        <f t="shared" si="1"/>
        <v>97.78</v>
      </c>
      <c r="N15" s="165">
        <f t="shared" si="2"/>
        <v>5</v>
      </c>
      <c r="O15" s="166" t="str">
        <f t="shared" si="3"/>
        <v>A+</v>
      </c>
      <c r="P15" s="167" t="str">
        <f t="shared" si="4"/>
        <v>1g</v>
      </c>
      <c r="Q15" s="59">
        <f t="shared" si="5"/>
        <v>1</v>
      </c>
      <c r="R15" s="60">
        <f t="shared" si="6"/>
        <v>97.78</v>
      </c>
    </row>
    <row r="16" spans="1:19" ht="30" customHeight="1" thickBot="1">
      <c r="A16" s="168">
        <v>3</v>
      </c>
      <c r="B16" s="138" t="s">
        <v>91</v>
      </c>
      <c r="C16" s="161">
        <v>90</v>
      </c>
      <c r="D16" s="162">
        <v>85</v>
      </c>
      <c r="E16" s="162">
        <v>82</v>
      </c>
      <c r="F16" s="162">
        <v>65</v>
      </c>
      <c r="G16" s="162">
        <v>61</v>
      </c>
      <c r="H16" s="169">
        <v>64</v>
      </c>
      <c r="I16" s="169">
        <v>95</v>
      </c>
      <c r="J16" s="169">
        <v>85</v>
      </c>
      <c r="K16" s="162">
        <v>95</v>
      </c>
      <c r="L16" s="162">
        <f t="shared" si="0"/>
        <v>722</v>
      </c>
      <c r="M16" s="164">
        <f t="shared" si="1"/>
        <v>80.22</v>
      </c>
      <c r="N16" s="165">
        <f t="shared" si="2"/>
        <v>4.5</v>
      </c>
      <c r="O16" s="166" t="str">
        <f t="shared" si="3"/>
        <v>A</v>
      </c>
      <c r="P16" s="167" t="str">
        <f t="shared" si="4"/>
        <v>3q</v>
      </c>
      <c r="Q16" s="59">
        <f t="shared" si="5"/>
        <v>3</v>
      </c>
      <c r="R16" s="60">
        <f t="shared" si="6"/>
        <v>80.22</v>
      </c>
    </row>
    <row r="17" spans="1:18" ht="30" customHeight="1" thickBot="1">
      <c r="A17" s="168">
        <v>4</v>
      </c>
      <c r="B17" s="138" t="s">
        <v>92</v>
      </c>
      <c r="C17" s="161">
        <v>70</v>
      </c>
      <c r="D17" s="162">
        <v>65</v>
      </c>
      <c r="E17" s="162">
        <v>55</v>
      </c>
      <c r="F17" s="162">
        <v>34</v>
      </c>
      <c r="G17" s="162">
        <v>33</v>
      </c>
      <c r="H17" s="162">
        <v>60</v>
      </c>
      <c r="I17" s="162">
        <v>85</v>
      </c>
      <c r="J17" s="162">
        <v>80</v>
      </c>
      <c r="K17" s="162">
        <v>88</v>
      </c>
      <c r="L17" s="162">
        <f t="shared" si="0"/>
        <v>570</v>
      </c>
      <c r="M17" s="164">
        <f t="shared" si="1"/>
        <v>63.33</v>
      </c>
      <c r="N17" s="165">
        <f t="shared" si="2"/>
        <v>3.44</v>
      </c>
      <c r="O17" s="166" t="str">
        <f t="shared" si="3"/>
        <v>B</v>
      </c>
      <c r="P17" s="167">
        <f t="shared" si="4"/>
        <v>4</v>
      </c>
      <c r="Q17" s="59">
        <f t="shared" si="5"/>
        <v>4</v>
      </c>
      <c r="R17" s="60">
        <f t="shared" si="6"/>
        <v>63.33</v>
      </c>
    </row>
    <row r="18" spans="1:18" ht="30" customHeight="1">
      <c r="A18" s="170">
        <v>5</v>
      </c>
      <c r="B18" s="138" t="s">
        <v>93</v>
      </c>
      <c r="C18" s="171">
        <v>75</v>
      </c>
      <c r="D18" s="172">
        <v>75</v>
      </c>
      <c r="E18" s="172">
        <v>65</v>
      </c>
      <c r="F18" s="172">
        <v>40</v>
      </c>
      <c r="G18" s="172">
        <v>33</v>
      </c>
      <c r="H18" s="172">
        <v>58</v>
      </c>
      <c r="I18" s="172">
        <v>80</v>
      </c>
      <c r="J18" s="172">
        <v>65</v>
      </c>
      <c r="K18" s="172">
        <v>78</v>
      </c>
      <c r="L18" s="172">
        <f t="shared" si="0"/>
        <v>569</v>
      </c>
      <c r="M18" s="173">
        <f t="shared" si="1"/>
        <v>63.22</v>
      </c>
      <c r="N18" s="174">
        <f t="shared" si="2"/>
        <v>3.33</v>
      </c>
      <c r="O18" s="175" t="str">
        <f t="shared" si="3"/>
        <v>B</v>
      </c>
      <c r="P18" s="176">
        <f t="shared" si="4"/>
        <v>5</v>
      </c>
      <c r="Q18" s="59">
        <f t="shared" si="5"/>
        <v>5</v>
      </c>
      <c r="R18" s="60">
        <f t="shared" si="6"/>
        <v>63.22</v>
      </c>
    </row>
    <row r="19" spans="1:18" ht="30" customHeight="1">
      <c r="A19" s="177">
        <v>6</v>
      </c>
      <c r="B19" s="138" t="s">
        <v>94</v>
      </c>
      <c r="C19" s="161">
        <v>70</v>
      </c>
      <c r="D19" s="178">
        <v>55</v>
      </c>
      <c r="E19" s="178">
        <v>64</v>
      </c>
      <c r="F19" s="178">
        <v>30</v>
      </c>
      <c r="G19" s="178">
        <v>25</v>
      </c>
      <c r="H19" s="178">
        <v>71</v>
      </c>
      <c r="I19" s="178">
        <v>70</v>
      </c>
      <c r="J19" s="178">
        <v>60</v>
      </c>
      <c r="K19" s="178">
        <v>75</v>
      </c>
      <c r="L19" s="178">
        <f t="shared" si="0"/>
        <v>520</v>
      </c>
      <c r="M19" s="179">
        <f t="shared" si="1"/>
        <v>57.78</v>
      </c>
      <c r="N19" s="180">
        <f t="shared" si="2"/>
        <v>2.89</v>
      </c>
      <c r="O19" s="181" t="str">
        <f t="shared" si="3"/>
        <v>C</v>
      </c>
      <c r="P19" s="182">
        <f t="shared" si="4"/>
        <v>6</v>
      </c>
      <c r="Q19" s="59">
        <f t="shared" si="5"/>
        <v>6</v>
      </c>
      <c r="R19" s="60">
        <f t="shared" si="6"/>
        <v>57.78</v>
      </c>
    </row>
    <row r="20" spans="1:18" ht="30" customHeight="1">
      <c r="A20" s="177">
        <v>7</v>
      </c>
      <c r="B20" s="138" t="s">
        <v>188</v>
      </c>
      <c r="C20" s="161"/>
      <c r="D20" s="178"/>
      <c r="E20" s="178"/>
      <c r="F20" s="178"/>
      <c r="G20" s="178"/>
      <c r="H20" s="178"/>
      <c r="I20" s="178"/>
      <c r="J20" s="178"/>
      <c r="K20" s="178"/>
      <c r="L20" s="178" t="str">
        <f t="shared" si="0"/>
        <v/>
      </c>
      <c r="M20" s="178" t="str">
        <f t="shared" si="1"/>
        <v/>
      </c>
      <c r="N20" s="180" t="str">
        <f t="shared" si="2"/>
        <v/>
      </c>
      <c r="O20" s="181" t="str">
        <f t="shared" si="3"/>
        <v/>
      </c>
      <c r="P20" s="182" t="str">
        <f t="shared" si="4"/>
        <v>1g</v>
      </c>
      <c r="Q20" s="59">
        <f t="shared" si="5"/>
        <v>1</v>
      </c>
      <c r="R20" s="60" t="str">
        <f t="shared" si="6"/>
        <v/>
      </c>
    </row>
    <row r="21" spans="1:18" ht="30" customHeight="1">
      <c r="A21" s="61"/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 t="str">
        <f t="shared" si="0"/>
        <v/>
      </c>
      <c r="M21" s="63" t="str">
        <f t="shared" si="1"/>
        <v/>
      </c>
      <c r="N21" s="64" t="str">
        <f t="shared" si="2"/>
        <v/>
      </c>
      <c r="O21" s="65" t="str">
        <f t="shared" si="3"/>
        <v/>
      </c>
      <c r="P21" s="61" t="str">
        <f t="shared" si="4"/>
        <v/>
      </c>
      <c r="Q21" s="59" t="str">
        <f t="shared" si="5"/>
        <v/>
      </c>
      <c r="R21" s="60" t="str">
        <f t="shared" si="6"/>
        <v/>
      </c>
    </row>
    <row r="22" spans="1:18" ht="30" customHeight="1">
      <c r="A22" s="61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 t="str">
        <f t="shared" si="0"/>
        <v/>
      </c>
      <c r="M22" s="63" t="str">
        <f t="shared" si="1"/>
        <v/>
      </c>
      <c r="N22" s="64" t="str">
        <f t="shared" si="2"/>
        <v/>
      </c>
      <c r="O22" s="65" t="str">
        <f t="shared" si="3"/>
        <v/>
      </c>
      <c r="P22" s="61" t="str">
        <f t="shared" si="4"/>
        <v/>
      </c>
      <c r="Q22" s="59" t="str">
        <f t="shared" si="5"/>
        <v/>
      </c>
      <c r="R22" s="60" t="str">
        <f t="shared" si="6"/>
        <v/>
      </c>
    </row>
    <row r="23" spans="1:18" ht="30" customHeight="1">
      <c r="A23" s="61"/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3" t="str">
        <f t="shared" si="0"/>
        <v/>
      </c>
      <c r="M23" s="63" t="str">
        <f t="shared" si="1"/>
        <v/>
      </c>
      <c r="N23" s="64" t="str">
        <f t="shared" si="2"/>
        <v/>
      </c>
      <c r="O23" s="65" t="str">
        <f t="shared" si="3"/>
        <v/>
      </c>
      <c r="P23" s="61" t="str">
        <f t="shared" si="4"/>
        <v/>
      </c>
      <c r="Q23" s="59" t="str">
        <f t="shared" si="5"/>
        <v/>
      </c>
      <c r="R23" s="60" t="str">
        <f t="shared" si="6"/>
        <v/>
      </c>
    </row>
    <row r="24" spans="1:18" ht="30" customHeight="1">
      <c r="A24" s="61"/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3" t="str">
        <f t="shared" si="0"/>
        <v/>
      </c>
      <c r="M24" s="63" t="str">
        <f t="shared" si="1"/>
        <v/>
      </c>
      <c r="N24" s="64" t="str">
        <f t="shared" si="2"/>
        <v/>
      </c>
      <c r="O24" s="65" t="str">
        <f t="shared" si="3"/>
        <v/>
      </c>
      <c r="P24" s="61" t="str">
        <f t="shared" si="4"/>
        <v/>
      </c>
      <c r="Q24" s="59" t="str">
        <f t="shared" si="5"/>
        <v/>
      </c>
      <c r="R24" s="60" t="str">
        <f t="shared" si="6"/>
        <v/>
      </c>
    </row>
    <row r="25" spans="1:18" ht="30" customHeight="1">
      <c r="A25" s="61"/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3" t="str">
        <f t="shared" si="0"/>
        <v/>
      </c>
      <c r="M25" s="63" t="str">
        <f t="shared" si="1"/>
        <v/>
      </c>
      <c r="N25" s="64" t="str">
        <f t="shared" si="2"/>
        <v/>
      </c>
      <c r="O25" s="65" t="str">
        <f t="shared" si="3"/>
        <v/>
      </c>
      <c r="P25" s="61" t="str">
        <f t="shared" si="4"/>
        <v/>
      </c>
      <c r="Q25" s="59" t="str">
        <f t="shared" si="5"/>
        <v/>
      </c>
      <c r="R25" s="60" t="str">
        <f t="shared" si="6"/>
        <v/>
      </c>
    </row>
    <row r="26" spans="1:18" ht="30" customHeight="1">
      <c r="A26" s="61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3" t="str">
        <f t="shared" si="0"/>
        <v/>
      </c>
      <c r="M26" s="63" t="str">
        <f t="shared" si="1"/>
        <v/>
      </c>
      <c r="N26" s="64" t="str">
        <f t="shared" si="2"/>
        <v/>
      </c>
      <c r="O26" s="65" t="str">
        <f t="shared" si="3"/>
        <v/>
      </c>
      <c r="P26" s="61" t="str">
        <f t="shared" si="4"/>
        <v/>
      </c>
      <c r="Q26" s="59" t="str">
        <f t="shared" si="5"/>
        <v/>
      </c>
      <c r="R26" s="60" t="str">
        <f t="shared" si="6"/>
        <v/>
      </c>
    </row>
    <row r="27" spans="1:18" ht="30" customHeight="1">
      <c r="A27" s="61"/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3" t="str">
        <f t="shared" si="0"/>
        <v/>
      </c>
      <c r="M27" s="63" t="str">
        <f t="shared" si="1"/>
        <v/>
      </c>
      <c r="N27" s="64" t="str">
        <f t="shared" si="2"/>
        <v/>
      </c>
      <c r="O27" s="65" t="str">
        <f t="shared" si="3"/>
        <v/>
      </c>
      <c r="P27" s="61" t="str">
        <f t="shared" si="4"/>
        <v/>
      </c>
      <c r="Q27" s="59" t="str">
        <f t="shared" si="5"/>
        <v/>
      </c>
      <c r="R27" s="60" t="str">
        <f t="shared" si="6"/>
        <v/>
      </c>
    </row>
    <row r="28" spans="1:18" ht="30" customHeight="1">
      <c r="A28" s="61"/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 t="str">
        <f t="shared" si="0"/>
        <v/>
      </c>
      <c r="M28" s="63" t="str">
        <f t="shared" si="1"/>
        <v/>
      </c>
      <c r="N28" s="64" t="str">
        <f t="shared" si="2"/>
        <v/>
      </c>
      <c r="O28" s="65" t="str">
        <f t="shared" si="3"/>
        <v/>
      </c>
      <c r="P28" s="61" t="str">
        <f t="shared" si="4"/>
        <v/>
      </c>
      <c r="Q28" s="59" t="str">
        <f t="shared" si="5"/>
        <v/>
      </c>
      <c r="R28" s="60" t="str">
        <f t="shared" si="6"/>
        <v/>
      </c>
    </row>
    <row r="29" spans="1:18" ht="30" customHeight="1">
      <c r="A29" s="61"/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 t="str">
        <f t="shared" si="0"/>
        <v/>
      </c>
      <c r="M29" s="63" t="str">
        <f t="shared" si="1"/>
        <v/>
      </c>
      <c r="N29" s="64" t="str">
        <f t="shared" si="2"/>
        <v/>
      </c>
      <c r="O29" s="65" t="str">
        <f t="shared" si="3"/>
        <v/>
      </c>
      <c r="P29" s="61" t="str">
        <f t="shared" si="4"/>
        <v/>
      </c>
      <c r="Q29" s="59" t="str">
        <f t="shared" si="5"/>
        <v/>
      </c>
      <c r="R29" s="60" t="str">
        <f t="shared" si="6"/>
        <v/>
      </c>
    </row>
    <row r="30" spans="1:18" ht="30" customHeight="1">
      <c r="A30" s="61"/>
      <c r="B30" s="62"/>
      <c r="C30" s="63"/>
      <c r="D30" s="63"/>
      <c r="E30" s="63"/>
      <c r="F30" s="63"/>
      <c r="G30" s="63"/>
      <c r="H30" s="63"/>
      <c r="I30" s="63"/>
      <c r="J30" s="63"/>
      <c r="K30" s="63"/>
      <c r="L30" s="63" t="str">
        <f t="shared" si="0"/>
        <v/>
      </c>
      <c r="M30" s="63" t="str">
        <f t="shared" si="1"/>
        <v/>
      </c>
      <c r="N30" s="64" t="str">
        <f t="shared" si="2"/>
        <v/>
      </c>
      <c r="O30" s="65" t="str">
        <f t="shared" si="3"/>
        <v/>
      </c>
      <c r="P30" s="61" t="str">
        <f t="shared" si="4"/>
        <v/>
      </c>
      <c r="Q30" s="59" t="str">
        <f t="shared" si="5"/>
        <v/>
      </c>
      <c r="R30" s="60" t="str">
        <f t="shared" si="6"/>
        <v/>
      </c>
    </row>
    <row r="31" spans="1:18" ht="30" customHeight="1">
      <c r="A31" s="61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3" t="str">
        <f t="shared" si="0"/>
        <v/>
      </c>
      <c r="M31" s="63" t="str">
        <f t="shared" si="1"/>
        <v/>
      </c>
      <c r="N31" s="64" t="str">
        <f t="shared" si="2"/>
        <v/>
      </c>
      <c r="O31" s="65" t="str">
        <f t="shared" si="3"/>
        <v/>
      </c>
      <c r="P31" s="61" t="str">
        <f t="shared" si="4"/>
        <v/>
      </c>
      <c r="Q31" s="59" t="str">
        <f t="shared" si="5"/>
        <v/>
      </c>
      <c r="R31" s="60" t="str">
        <f t="shared" si="6"/>
        <v/>
      </c>
    </row>
    <row r="32" spans="1:18" ht="30" customHeight="1">
      <c r="A32" s="61"/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 t="str">
        <f t="shared" si="0"/>
        <v/>
      </c>
      <c r="M32" s="63" t="str">
        <f t="shared" si="1"/>
        <v/>
      </c>
      <c r="N32" s="64" t="str">
        <f t="shared" si="2"/>
        <v/>
      </c>
      <c r="O32" s="65" t="str">
        <f t="shared" si="3"/>
        <v/>
      </c>
      <c r="P32" s="61" t="str">
        <f t="shared" si="4"/>
        <v/>
      </c>
      <c r="Q32" s="59" t="str">
        <f t="shared" si="5"/>
        <v/>
      </c>
      <c r="R32" s="60" t="str">
        <f t="shared" si="6"/>
        <v/>
      </c>
    </row>
    <row r="33" spans="1:18" ht="30" customHeight="1">
      <c r="A33" s="61"/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3" t="str">
        <f t="shared" si="0"/>
        <v/>
      </c>
      <c r="M33" s="63" t="str">
        <f t="shared" si="1"/>
        <v/>
      </c>
      <c r="N33" s="64" t="str">
        <f t="shared" si="2"/>
        <v/>
      </c>
      <c r="O33" s="65" t="str">
        <f t="shared" si="3"/>
        <v/>
      </c>
      <c r="P33" s="61" t="str">
        <f t="shared" si="4"/>
        <v/>
      </c>
      <c r="Q33" s="59" t="str">
        <f t="shared" si="5"/>
        <v/>
      </c>
      <c r="R33" s="60" t="str">
        <f t="shared" si="6"/>
        <v/>
      </c>
    </row>
    <row r="34" spans="1:18" ht="30" customHeight="1">
      <c r="A34" s="61"/>
      <c r="B34" s="62"/>
      <c r="C34" s="63"/>
      <c r="D34" s="63"/>
      <c r="E34" s="63"/>
      <c r="F34" s="63"/>
      <c r="G34" s="63"/>
      <c r="H34" s="63"/>
      <c r="I34" s="63"/>
      <c r="J34" s="63"/>
      <c r="K34" s="63"/>
      <c r="L34" s="63" t="str">
        <f t="shared" si="0"/>
        <v/>
      </c>
      <c r="M34" s="63" t="str">
        <f t="shared" si="1"/>
        <v/>
      </c>
      <c r="N34" s="64" t="str">
        <f t="shared" si="2"/>
        <v/>
      </c>
      <c r="O34" s="65" t="str">
        <f t="shared" si="3"/>
        <v/>
      </c>
      <c r="P34" s="61" t="str">
        <f t="shared" si="4"/>
        <v/>
      </c>
      <c r="Q34" s="59" t="str">
        <f t="shared" si="5"/>
        <v/>
      </c>
      <c r="R34" s="60" t="str">
        <f t="shared" si="6"/>
        <v/>
      </c>
    </row>
    <row r="35" spans="1:18" ht="30" customHeight="1">
      <c r="A35" s="61"/>
      <c r="B35" s="62"/>
      <c r="C35" s="63"/>
      <c r="D35" s="63"/>
      <c r="E35" s="63"/>
      <c r="F35" s="63"/>
      <c r="G35" s="63"/>
      <c r="H35" s="63"/>
      <c r="I35" s="63"/>
      <c r="J35" s="63"/>
      <c r="K35" s="63"/>
      <c r="L35" s="63" t="str">
        <f t="shared" si="0"/>
        <v/>
      </c>
      <c r="M35" s="63" t="str">
        <f t="shared" si="1"/>
        <v/>
      </c>
      <c r="N35" s="64" t="str">
        <f t="shared" si="2"/>
        <v/>
      </c>
      <c r="O35" s="65" t="str">
        <f t="shared" si="3"/>
        <v/>
      </c>
      <c r="P35" s="61" t="str">
        <f t="shared" si="4"/>
        <v/>
      </c>
      <c r="Q35" s="59" t="str">
        <f t="shared" si="5"/>
        <v/>
      </c>
      <c r="R35" s="60" t="str">
        <f t="shared" si="6"/>
        <v/>
      </c>
    </row>
    <row r="36" spans="1:18" ht="30" customHeight="1">
      <c r="A36" s="61"/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3" t="str">
        <f t="shared" si="0"/>
        <v/>
      </c>
      <c r="M36" s="63" t="str">
        <f t="shared" si="1"/>
        <v/>
      </c>
      <c r="N36" s="64" t="str">
        <f t="shared" si="2"/>
        <v/>
      </c>
      <c r="O36" s="65" t="str">
        <f t="shared" si="3"/>
        <v/>
      </c>
      <c r="P36" s="61" t="str">
        <f t="shared" si="4"/>
        <v/>
      </c>
      <c r="Q36" s="59" t="str">
        <f t="shared" si="5"/>
        <v/>
      </c>
      <c r="R36" s="60" t="str">
        <f t="shared" si="6"/>
        <v/>
      </c>
    </row>
    <row r="37" spans="1:18" ht="21.75" customHeight="1">
      <c r="A37" s="66"/>
      <c r="B37" s="67"/>
      <c r="C37" s="68"/>
      <c r="D37" s="68"/>
      <c r="E37" s="68"/>
      <c r="F37" s="68"/>
      <c r="G37" s="68"/>
      <c r="H37" s="68"/>
      <c r="I37" s="68"/>
      <c r="J37" s="68"/>
      <c r="K37" s="68"/>
      <c r="L37" s="68" t="str">
        <f t="shared" si="0"/>
        <v/>
      </c>
      <c r="M37" s="69" t="str">
        <f t="shared" si="1"/>
        <v/>
      </c>
      <c r="N37" s="69" t="str">
        <f t="shared" si="2"/>
        <v/>
      </c>
      <c r="O37" s="66" t="str">
        <f t="shared" si="3"/>
        <v/>
      </c>
      <c r="P37" s="70" t="str">
        <f t="shared" si="4"/>
        <v/>
      </c>
      <c r="Q37" s="59" t="str">
        <f t="shared" si="5"/>
        <v/>
      </c>
      <c r="R37" s="60" t="str">
        <f t="shared" si="6"/>
        <v/>
      </c>
    </row>
    <row r="38" spans="1:18" ht="21.75" customHeight="1">
      <c r="A38" s="71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3" t="str">
        <f t="shared" si="0"/>
        <v/>
      </c>
      <c r="M38" s="74" t="str">
        <f t="shared" si="1"/>
        <v/>
      </c>
      <c r="N38" s="74" t="str">
        <f t="shared" si="2"/>
        <v/>
      </c>
      <c r="O38" s="71" t="str">
        <f t="shared" si="3"/>
        <v/>
      </c>
      <c r="P38" s="70" t="str">
        <f t="shared" si="4"/>
        <v/>
      </c>
      <c r="Q38" s="59" t="str">
        <f t="shared" si="5"/>
        <v/>
      </c>
      <c r="R38" s="60" t="str">
        <f t="shared" si="6"/>
        <v/>
      </c>
    </row>
    <row r="39" spans="1:18" ht="21.75" customHeight="1">
      <c r="A39" s="71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3" t="str">
        <f t="shared" si="0"/>
        <v/>
      </c>
      <c r="M39" s="74" t="str">
        <f t="shared" si="1"/>
        <v/>
      </c>
      <c r="N39" s="74" t="str">
        <f t="shared" si="2"/>
        <v/>
      </c>
      <c r="O39" s="71" t="str">
        <f t="shared" si="3"/>
        <v/>
      </c>
      <c r="P39" s="70" t="str">
        <f t="shared" si="4"/>
        <v/>
      </c>
      <c r="Q39" s="59" t="str">
        <f t="shared" si="5"/>
        <v/>
      </c>
      <c r="R39" s="60" t="str">
        <f t="shared" si="6"/>
        <v/>
      </c>
    </row>
    <row r="40" spans="1:18" ht="21.75" customHeight="1">
      <c r="A40" s="71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3" t="str">
        <f t="shared" si="0"/>
        <v/>
      </c>
      <c r="M40" s="74" t="str">
        <f t="shared" si="1"/>
        <v/>
      </c>
      <c r="N40" s="74" t="str">
        <f t="shared" si="2"/>
        <v/>
      </c>
      <c r="O40" s="71" t="str">
        <f t="shared" si="3"/>
        <v/>
      </c>
      <c r="P40" s="70" t="str">
        <f t="shared" si="4"/>
        <v/>
      </c>
      <c r="Q40" s="59" t="str">
        <f t="shared" si="5"/>
        <v/>
      </c>
      <c r="R40" s="60" t="str">
        <f t="shared" si="6"/>
        <v/>
      </c>
    </row>
    <row r="41" spans="1:18" ht="21.75" customHeight="1">
      <c r="A41" s="71"/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3" t="str">
        <f t="shared" si="0"/>
        <v/>
      </c>
      <c r="M41" s="74" t="str">
        <f t="shared" si="1"/>
        <v/>
      </c>
      <c r="N41" s="74" t="str">
        <f t="shared" si="2"/>
        <v/>
      </c>
      <c r="O41" s="71" t="str">
        <f t="shared" si="3"/>
        <v/>
      </c>
      <c r="P41" s="70" t="str">
        <f t="shared" si="4"/>
        <v/>
      </c>
      <c r="Q41" s="59" t="str">
        <f t="shared" si="5"/>
        <v/>
      </c>
      <c r="R41" s="60" t="str">
        <f t="shared" si="6"/>
        <v/>
      </c>
    </row>
    <row r="42" spans="1:18" ht="21.75" customHeight="1">
      <c r="A42" s="71"/>
      <c r="B42" s="72"/>
      <c r="C42" s="73"/>
      <c r="D42" s="73"/>
      <c r="E42" s="73"/>
      <c r="F42" s="73"/>
      <c r="G42" s="73"/>
      <c r="H42" s="73"/>
      <c r="I42" s="73"/>
      <c r="J42" s="73"/>
      <c r="K42" s="73"/>
      <c r="L42" s="73" t="str">
        <f t="shared" si="0"/>
        <v/>
      </c>
      <c r="M42" s="74" t="str">
        <f t="shared" si="1"/>
        <v/>
      </c>
      <c r="N42" s="74" t="str">
        <f t="shared" si="2"/>
        <v/>
      </c>
      <c r="O42" s="71" t="str">
        <f t="shared" si="3"/>
        <v/>
      </c>
      <c r="P42" s="70" t="str">
        <f t="shared" si="4"/>
        <v/>
      </c>
      <c r="Q42" s="59" t="str">
        <f t="shared" si="5"/>
        <v/>
      </c>
      <c r="R42" s="60" t="str">
        <f t="shared" si="6"/>
        <v/>
      </c>
    </row>
    <row r="43" spans="1:18" ht="21.75" customHeight="1">
      <c r="A43" s="71"/>
      <c r="B43" s="72"/>
      <c r="C43" s="73"/>
      <c r="D43" s="73"/>
      <c r="E43" s="73"/>
      <c r="F43" s="73"/>
      <c r="G43" s="73"/>
      <c r="H43" s="73"/>
      <c r="I43" s="73"/>
      <c r="J43" s="73"/>
      <c r="K43" s="73"/>
      <c r="L43" s="73" t="str">
        <f t="shared" si="0"/>
        <v/>
      </c>
      <c r="M43" s="74" t="str">
        <f t="shared" si="1"/>
        <v/>
      </c>
      <c r="N43" s="74" t="str">
        <f t="shared" si="2"/>
        <v/>
      </c>
      <c r="O43" s="71" t="str">
        <f t="shared" si="3"/>
        <v/>
      </c>
      <c r="P43" s="70" t="str">
        <f t="shared" si="4"/>
        <v/>
      </c>
      <c r="Q43" s="59" t="str">
        <f t="shared" si="5"/>
        <v/>
      </c>
      <c r="R43" s="60" t="str">
        <f t="shared" si="6"/>
        <v/>
      </c>
    </row>
    <row r="44" spans="1:18" ht="21.75" customHeight="1">
      <c r="A44" s="71"/>
      <c r="B44" s="72"/>
      <c r="C44" s="73"/>
      <c r="D44" s="73"/>
      <c r="E44" s="73"/>
      <c r="F44" s="73"/>
      <c r="G44" s="73"/>
      <c r="H44" s="73"/>
      <c r="I44" s="73"/>
      <c r="J44" s="73"/>
      <c r="K44" s="73"/>
      <c r="L44" s="73" t="str">
        <f t="shared" si="0"/>
        <v/>
      </c>
      <c r="M44" s="74" t="str">
        <f t="shared" si="1"/>
        <v/>
      </c>
      <c r="N44" s="74" t="str">
        <f t="shared" si="2"/>
        <v/>
      </c>
      <c r="O44" s="71" t="str">
        <f t="shared" si="3"/>
        <v/>
      </c>
      <c r="P44" s="70" t="str">
        <f t="shared" si="4"/>
        <v/>
      </c>
      <c r="Q44" s="59" t="str">
        <f t="shared" si="5"/>
        <v/>
      </c>
      <c r="R44" s="60" t="str">
        <f t="shared" si="6"/>
        <v/>
      </c>
    </row>
    <row r="45" spans="1:18" ht="21.75" customHeight="1">
      <c r="A45" s="71"/>
      <c r="B45" s="72"/>
      <c r="C45" s="73"/>
      <c r="D45" s="73"/>
      <c r="E45" s="73"/>
      <c r="F45" s="73"/>
      <c r="G45" s="73"/>
      <c r="H45" s="73"/>
      <c r="I45" s="73"/>
      <c r="J45" s="73"/>
      <c r="K45" s="73"/>
      <c r="L45" s="73" t="str">
        <f t="shared" si="0"/>
        <v/>
      </c>
      <c r="M45" s="74" t="str">
        <f t="shared" si="1"/>
        <v/>
      </c>
      <c r="N45" s="74" t="str">
        <f t="shared" si="2"/>
        <v/>
      </c>
      <c r="O45" s="71" t="str">
        <f t="shared" si="3"/>
        <v/>
      </c>
      <c r="P45" s="70" t="str">
        <f t="shared" si="4"/>
        <v/>
      </c>
      <c r="Q45" s="59" t="str">
        <f t="shared" si="5"/>
        <v/>
      </c>
      <c r="R45" s="60" t="str">
        <f t="shared" si="6"/>
        <v/>
      </c>
    </row>
    <row r="46" spans="1:18" ht="21.75" customHeight="1">
      <c r="A46" s="71">
        <v>34</v>
      </c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3" t="str">
        <f t="shared" ref="L46:L63" si="7">IF($B46="","",IF(COUNT(C46:K46)=0,"",SUM(C46:K46)))</f>
        <v/>
      </c>
      <c r="M46" s="74" t="str">
        <f t="shared" ref="M46:M63" si="8">IF($B46="","",IF(COUNT(C46:K46)=0,"",ROUND(SUM(C46:K46)/COLUMNS(C46:K46),2)))</f>
        <v/>
      </c>
      <c r="N46" s="74" t="str">
        <f t="shared" ref="N46:N63" si="9">IF($B46="","",IF(COUNT(C46:K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+IF(ISNUMBER(K46),IF(K46&gt;=80,5,IF(K46&gt;=70,4,IF(K46&gt;=60,3.5,IF(K46&gt;=50,3,IF(K46&gt;=40,2,IF(K46&gt;=33,1,0)))))),0))/COLUMNS(C46:K46),2)))</f>
        <v/>
      </c>
      <c r="O46" s="71" t="str">
        <f t="shared" ref="O46:O63" si="10">IF($B46="","",IF(N46="","",IF(N46=0,"Fail",IF(N46=5,"A+",IF(N46&gt;=4,"A",IF(N46&gt;=3.5,"A-",IF(N46&gt;=3,"B",IF(N46&gt;=2,"C",IF(N46&gt;=1,"D","F")))))))))</f>
        <v/>
      </c>
      <c r="P46" s="70" t="str">
        <f t="shared" ref="P46:P63" si="11">IF($B46="","",IF($Q46="","",IF($Q46=1,"1g",IF($Q46=2,"2q",IF($Q46=3,"3q",$Q46)))))</f>
        <v/>
      </c>
      <c r="Q46" s="59" t="str">
        <f t="shared" ref="Q46:Q63" si="12">IF($B46="","",IF(OR($O46="ফেল",$O46="অনুপস্থিত",$O46="অসম্পূর্ণ"),"",1+SUMPRODUCT(($R$14:$R$63&lt;&gt;"")*($R$14:$R$63&gt;R46)/COUNTIF($R$14:$R$63,$R$14:$R$63))))</f>
        <v/>
      </c>
      <c r="R46" s="60" t="str">
        <f t="shared" ref="R46:R63" si="13">IF($B46="","",M46)</f>
        <v/>
      </c>
    </row>
    <row r="47" spans="1:18" ht="21.75" customHeight="1">
      <c r="A47" s="71">
        <v>35</v>
      </c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 t="str">
        <f t="shared" si="7"/>
        <v/>
      </c>
      <c r="M47" s="74" t="str">
        <f t="shared" si="8"/>
        <v/>
      </c>
      <c r="N47" s="74" t="str">
        <f t="shared" si="9"/>
        <v/>
      </c>
      <c r="O47" s="71" t="str">
        <f t="shared" si="10"/>
        <v/>
      </c>
      <c r="P47" s="70" t="str">
        <f t="shared" si="11"/>
        <v/>
      </c>
      <c r="Q47" s="59" t="str">
        <f t="shared" si="12"/>
        <v/>
      </c>
      <c r="R47" s="60" t="str">
        <f t="shared" si="13"/>
        <v/>
      </c>
    </row>
    <row r="48" spans="1:18" ht="21.75" customHeight="1">
      <c r="A48" s="71">
        <v>36</v>
      </c>
      <c r="B48" s="72"/>
      <c r="C48" s="73"/>
      <c r="D48" s="73"/>
      <c r="E48" s="73"/>
      <c r="F48" s="73"/>
      <c r="G48" s="73"/>
      <c r="H48" s="73"/>
      <c r="I48" s="73"/>
      <c r="J48" s="73"/>
      <c r="K48" s="73"/>
      <c r="L48" s="73" t="str">
        <f t="shared" si="7"/>
        <v/>
      </c>
      <c r="M48" s="74" t="str">
        <f t="shared" si="8"/>
        <v/>
      </c>
      <c r="N48" s="74" t="str">
        <f t="shared" si="9"/>
        <v/>
      </c>
      <c r="O48" s="71" t="str">
        <f t="shared" si="10"/>
        <v/>
      </c>
      <c r="P48" s="70" t="str">
        <f t="shared" si="11"/>
        <v/>
      </c>
      <c r="Q48" s="59" t="str">
        <f t="shared" si="12"/>
        <v/>
      </c>
      <c r="R48" s="60" t="str">
        <f t="shared" si="13"/>
        <v/>
      </c>
    </row>
    <row r="49" spans="1:18" ht="21.75" customHeight="1">
      <c r="A49" s="71">
        <v>37</v>
      </c>
      <c r="B49" s="72"/>
      <c r="C49" s="73"/>
      <c r="D49" s="73"/>
      <c r="E49" s="73"/>
      <c r="F49" s="73"/>
      <c r="G49" s="73"/>
      <c r="H49" s="73"/>
      <c r="I49" s="73"/>
      <c r="J49" s="73"/>
      <c r="K49" s="73"/>
      <c r="L49" s="73" t="str">
        <f t="shared" si="7"/>
        <v/>
      </c>
      <c r="M49" s="74" t="str">
        <f t="shared" si="8"/>
        <v/>
      </c>
      <c r="N49" s="74" t="str">
        <f t="shared" si="9"/>
        <v/>
      </c>
      <c r="O49" s="71" t="str">
        <f t="shared" si="10"/>
        <v/>
      </c>
      <c r="P49" s="70" t="str">
        <f t="shared" si="11"/>
        <v/>
      </c>
      <c r="Q49" s="59" t="str">
        <f t="shared" si="12"/>
        <v/>
      </c>
      <c r="R49" s="60" t="str">
        <f t="shared" si="13"/>
        <v/>
      </c>
    </row>
    <row r="50" spans="1:18" ht="21.75" customHeight="1">
      <c r="A50" s="71">
        <v>38</v>
      </c>
      <c r="B50" s="72"/>
      <c r="C50" s="73"/>
      <c r="D50" s="73"/>
      <c r="E50" s="73"/>
      <c r="F50" s="73"/>
      <c r="G50" s="73"/>
      <c r="H50" s="73"/>
      <c r="I50" s="73"/>
      <c r="J50" s="73"/>
      <c r="K50" s="73"/>
      <c r="L50" s="73" t="str">
        <f t="shared" si="7"/>
        <v/>
      </c>
      <c r="M50" s="74" t="str">
        <f t="shared" si="8"/>
        <v/>
      </c>
      <c r="N50" s="74" t="str">
        <f t="shared" si="9"/>
        <v/>
      </c>
      <c r="O50" s="71" t="str">
        <f t="shared" si="10"/>
        <v/>
      </c>
      <c r="P50" s="70" t="str">
        <f t="shared" si="11"/>
        <v/>
      </c>
      <c r="Q50" s="59" t="str">
        <f t="shared" si="12"/>
        <v/>
      </c>
      <c r="R50" s="60" t="str">
        <f t="shared" si="13"/>
        <v/>
      </c>
    </row>
    <row r="51" spans="1:18" ht="21.75" customHeight="1">
      <c r="A51" s="71">
        <v>39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 t="str">
        <f t="shared" si="7"/>
        <v/>
      </c>
      <c r="M51" s="74" t="str">
        <f t="shared" si="8"/>
        <v/>
      </c>
      <c r="N51" s="74" t="str">
        <f t="shared" si="9"/>
        <v/>
      </c>
      <c r="O51" s="71" t="str">
        <f t="shared" si="10"/>
        <v/>
      </c>
      <c r="P51" s="70" t="str">
        <f t="shared" si="11"/>
        <v/>
      </c>
      <c r="Q51" s="59" t="str">
        <f t="shared" si="12"/>
        <v/>
      </c>
      <c r="R51" s="60" t="str">
        <f t="shared" si="13"/>
        <v/>
      </c>
    </row>
    <row r="52" spans="1:18" ht="21.75" customHeight="1">
      <c r="A52" s="71">
        <v>40</v>
      </c>
      <c r="B52" s="72"/>
      <c r="C52" s="73"/>
      <c r="D52" s="73"/>
      <c r="E52" s="73"/>
      <c r="F52" s="73"/>
      <c r="G52" s="73"/>
      <c r="H52" s="73"/>
      <c r="I52" s="73"/>
      <c r="J52" s="73"/>
      <c r="K52" s="73"/>
      <c r="L52" s="73" t="str">
        <f t="shared" si="7"/>
        <v/>
      </c>
      <c r="M52" s="74" t="str">
        <f t="shared" si="8"/>
        <v/>
      </c>
      <c r="N52" s="74" t="str">
        <f t="shared" si="9"/>
        <v/>
      </c>
      <c r="O52" s="71" t="str">
        <f t="shared" si="10"/>
        <v/>
      </c>
      <c r="P52" s="70" t="str">
        <f t="shared" si="11"/>
        <v/>
      </c>
      <c r="Q52" s="59" t="str">
        <f t="shared" si="12"/>
        <v/>
      </c>
      <c r="R52" s="60" t="str">
        <f t="shared" si="13"/>
        <v/>
      </c>
    </row>
    <row r="53" spans="1:18" ht="21.75" customHeight="1">
      <c r="A53" s="71">
        <v>41</v>
      </c>
      <c r="B53" s="72"/>
      <c r="C53" s="73"/>
      <c r="D53" s="73"/>
      <c r="E53" s="73"/>
      <c r="F53" s="73"/>
      <c r="G53" s="73"/>
      <c r="H53" s="73"/>
      <c r="I53" s="73"/>
      <c r="J53" s="73"/>
      <c r="K53" s="73"/>
      <c r="L53" s="73" t="str">
        <f t="shared" si="7"/>
        <v/>
      </c>
      <c r="M53" s="74" t="str">
        <f t="shared" si="8"/>
        <v/>
      </c>
      <c r="N53" s="74" t="str">
        <f t="shared" si="9"/>
        <v/>
      </c>
      <c r="O53" s="71" t="str">
        <f t="shared" si="10"/>
        <v/>
      </c>
      <c r="P53" s="70" t="str">
        <f t="shared" si="11"/>
        <v/>
      </c>
      <c r="Q53" s="59" t="str">
        <f t="shared" si="12"/>
        <v/>
      </c>
      <c r="R53" s="60" t="str">
        <f t="shared" si="13"/>
        <v/>
      </c>
    </row>
    <row r="54" spans="1:18" ht="21.75" customHeight="1">
      <c r="A54" s="71">
        <v>42</v>
      </c>
      <c r="B54" s="72"/>
      <c r="C54" s="73"/>
      <c r="D54" s="73"/>
      <c r="E54" s="73"/>
      <c r="F54" s="73"/>
      <c r="G54" s="73"/>
      <c r="H54" s="73"/>
      <c r="I54" s="73"/>
      <c r="J54" s="73"/>
      <c r="K54" s="73"/>
      <c r="L54" s="73" t="str">
        <f t="shared" si="7"/>
        <v/>
      </c>
      <c r="M54" s="74" t="str">
        <f t="shared" si="8"/>
        <v/>
      </c>
      <c r="N54" s="74" t="str">
        <f t="shared" si="9"/>
        <v/>
      </c>
      <c r="O54" s="71" t="str">
        <f t="shared" si="10"/>
        <v/>
      </c>
      <c r="P54" s="70" t="str">
        <f t="shared" si="11"/>
        <v/>
      </c>
      <c r="Q54" s="59" t="str">
        <f t="shared" si="12"/>
        <v/>
      </c>
      <c r="R54" s="60" t="str">
        <f t="shared" si="13"/>
        <v/>
      </c>
    </row>
    <row r="55" spans="1:18" ht="21.75" customHeight="1">
      <c r="A55" s="71">
        <v>43</v>
      </c>
      <c r="B55" s="72"/>
      <c r="C55" s="73"/>
      <c r="D55" s="73"/>
      <c r="E55" s="73"/>
      <c r="F55" s="73"/>
      <c r="G55" s="73"/>
      <c r="H55" s="73"/>
      <c r="I55" s="73"/>
      <c r="J55" s="73"/>
      <c r="K55" s="73"/>
      <c r="L55" s="73" t="str">
        <f t="shared" si="7"/>
        <v/>
      </c>
      <c r="M55" s="74" t="str">
        <f t="shared" si="8"/>
        <v/>
      </c>
      <c r="N55" s="74" t="str">
        <f t="shared" si="9"/>
        <v/>
      </c>
      <c r="O55" s="71" t="str">
        <f t="shared" si="10"/>
        <v/>
      </c>
      <c r="P55" s="70" t="str">
        <f t="shared" si="11"/>
        <v/>
      </c>
      <c r="Q55" s="59" t="str">
        <f t="shared" si="12"/>
        <v/>
      </c>
      <c r="R55" s="60" t="str">
        <f t="shared" si="13"/>
        <v/>
      </c>
    </row>
    <row r="56" spans="1:18" ht="21.75" customHeight="1">
      <c r="A56" s="71">
        <v>44</v>
      </c>
      <c r="B56" s="72"/>
      <c r="C56" s="73"/>
      <c r="D56" s="73"/>
      <c r="E56" s="73"/>
      <c r="F56" s="73"/>
      <c r="G56" s="73"/>
      <c r="H56" s="73"/>
      <c r="I56" s="73"/>
      <c r="J56" s="73"/>
      <c r="K56" s="73"/>
      <c r="L56" s="73" t="str">
        <f t="shared" si="7"/>
        <v/>
      </c>
      <c r="M56" s="74" t="str">
        <f t="shared" si="8"/>
        <v/>
      </c>
      <c r="N56" s="74" t="str">
        <f t="shared" si="9"/>
        <v/>
      </c>
      <c r="O56" s="71" t="str">
        <f t="shared" si="10"/>
        <v/>
      </c>
      <c r="P56" s="70" t="str">
        <f t="shared" si="11"/>
        <v/>
      </c>
      <c r="Q56" s="59" t="str">
        <f t="shared" si="12"/>
        <v/>
      </c>
      <c r="R56" s="60" t="str">
        <f t="shared" si="13"/>
        <v/>
      </c>
    </row>
    <row r="57" spans="1:18" ht="21.75" customHeight="1">
      <c r="A57" s="71">
        <v>45</v>
      </c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73" t="str">
        <f t="shared" si="7"/>
        <v/>
      </c>
      <c r="M57" s="74" t="str">
        <f t="shared" si="8"/>
        <v/>
      </c>
      <c r="N57" s="74" t="str">
        <f t="shared" si="9"/>
        <v/>
      </c>
      <c r="O57" s="71" t="str">
        <f t="shared" si="10"/>
        <v/>
      </c>
      <c r="P57" s="70" t="str">
        <f t="shared" si="11"/>
        <v/>
      </c>
      <c r="Q57" s="59" t="str">
        <f t="shared" si="12"/>
        <v/>
      </c>
      <c r="R57" s="60" t="str">
        <f t="shared" si="13"/>
        <v/>
      </c>
    </row>
    <row r="58" spans="1:18" ht="21.75" customHeight="1">
      <c r="A58" s="71">
        <v>46</v>
      </c>
      <c r="B58" s="72"/>
      <c r="C58" s="73"/>
      <c r="D58" s="73"/>
      <c r="E58" s="73"/>
      <c r="F58" s="73"/>
      <c r="G58" s="73"/>
      <c r="H58" s="73"/>
      <c r="I58" s="73"/>
      <c r="J58" s="73"/>
      <c r="K58" s="73"/>
      <c r="L58" s="73" t="str">
        <f t="shared" si="7"/>
        <v/>
      </c>
      <c r="M58" s="74" t="str">
        <f t="shared" si="8"/>
        <v/>
      </c>
      <c r="N58" s="74" t="str">
        <f t="shared" si="9"/>
        <v/>
      </c>
      <c r="O58" s="71" t="str">
        <f t="shared" si="10"/>
        <v/>
      </c>
      <c r="P58" s="70" t="str">
        <f t="shared" si="11"/>
        <v/>
      </c>
      <c r="Q58" s="59" t="str">
        <f t="shared" si="12"/>
        <v/>
      </c>
      <c r="R58" s="60" t="str">
        <f t="shared" si="13"/>
        <v/>
      </c>
    </row>
    <row r="59" spans="1:18" ht="21.75" customHeight="1">
      <c r="A59" s="71">
        <v>47</v>
      </c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 t="str">
        <f t="shared" si="7"/>
        <v/>
      </c>
      <c r="M59" s="74" t="str">
        <f t="shared" si="8"/>
        <v/>
      </c>
      <c r="N59" s="74" t="str">
        <f t="shared" si="9"/>
        <v/>
      </c>
      <c r="O59" s="71" t="str">
        <f t="shared" si="10"/>
        <v/>
      </c>
      <c r="P59" s="70" t="str">
        <f t="shared" si="11"/>
        <v/>
      </c>
      <c r="Q59" s="59" t="str">
        <f t="shared" si="12"/>
        <v/>
      </c>
      <c r="R59" s="60" t="str">
        <f t="shared" si="13"/>
        <v/>
      </c>
    </row>
    <row r="60" spans="1:18" ht="21.75" customHeight="1">
      <c r="A60" s="71">
        <v>48</v>
      </c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 t="str">
        <f t="shared" si="7"/>
        <v/>
      </c>
      <c r="M60" s="74" t="str">
        <f t="shared" si="8"/>
        <v/>
      </c>
      <c r="N60" s="74" t="str">
        <f t="shared" si="9"/>
        <v/>
      </c>
      <c r="O60" s="71" t="str">
        <f t="shared" si="10"/>
        <v/>
      </c>
      <c r="P60" s="70" t="str">
        <f t="shared" si="11"/>
        <v/>
      </c>
      <c r="Q60" s="59" t="str">
        <f t="shared" si="12"/>
        <v/>
      </c>
      <c r="R60" s="60" t="str">
        <f t="shared" si="13"/>
        <v/>
      </c>
    </row>
    <row r="61" spans="1:18" ht="21.75" customHeight="1">
      <c r="A61" s="71">
        <v>49</v>
      </c>
      <c r="B61" s="72"/>
      <c r="C61" s="73"/>
      <c r="D61" s="73"/>
      <c r="E61" s="73"/>
      <c r="F61" s="73"/>
      <c r="G61" s="73"/>
      <c r="H61" s="73"/>
      <c r="I61" s="73"/>
      <c r="J61" s="73"/>
      <c r="K61" s="73"/>
      <c r="L61" s="73" t="str">
        <f t="shared" si="7"/>
        <v/>
      </c>
      <c r="M61" s="74" t="str">
        <f t="shared" si="8"/>
        <v/>
      </c>
      <c r="N61" s="74" t="str">
        <f t="shared" si="9"/>
        <v/>
      </c>
      <c r="O61" s="71" t="str">
        <f t="shared" si="10"/>
        <v/>
      </c>
      <c r="P61" s="70" t="str">
        <f t="shared" si="11"/>
        <v/>
      </c>
      <c r="Q61" s="59" t="str">
        <f t="shared" si="12"/>
        <v/>
      </c>
      <c r="R61" s="60" t="str">
        <f t="shared" si="13"/>
        <v/>
      </c>
    </row>
    <row r="62" spans="1:18" ht="21.75" customHeight="1">
      <c r="A62" s="71">
        <v>50</v>
      </c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 t="str">
        <f t="shared" si="7"/>
        <v/>
      </c>
      <c r="M62" s="74" t="str">
        <f t="shared" si="8"/>
        <v/>
      </c>
      <c r="N62" s="74" t="str">
        <f t="shared" si="9"/>
        <v/>
      </c>
      <c r="O62" s="71" t="str">
        <f t="shared" si="10"/>
        <v/>
      </c>
      <c r="P62" s="70" t="str">
        <f t="shared" si="11"/>
        <v/>
      </c>
      <c r="Q62" s="59" t="str">
        <f t="shared" si="12"/>
        <v/>
      </c>
      <c r="R62" s="60" t="str">
        <f t="shared" si="13"/>
        <v/>
      </c>
    </row>
    <row r="63" spans="1:18" ht="21.75" customHeight="1">
      <c r="A63" s="71">
        <v>51</v>
      </c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 t="str">
        <f t="shared" si="7"/>
        <v/>
      </c>
      <c r="M63" s="74" t="str">
        <f t="shared" si="8"/>
        <v/>
      </c>
      <c r="N63" s="74" t="str">
        <f t="shared" si="9"/>
        <v/>
      </c>
      <c r="O63" s="71" t="str">
        <f t="shared" si="10"/>
        <v/>
      </c>
      <c r="P63" s="70" t="str">
        <f t="shared" si="11"/>
        <v/>
      </c>
      <c r="Q63" s="59" t="str">
        <f t="shared" si="12"/>
        <v/>
      </c>
      <c r="R63" s="60" t="str">
        <f t="shared" si="13"/>
        <v/>
      </c>
    </row>
    <row r="64" spans="1:18" ht="21.75" customHeight="1">
      <c r="A64" s="71">
        <v>52</v>
      </c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4"/>
      <c r="N64" s="74"/>
      <c r="O64" s="71"/>
      <c r="P64" s="70"/>
      <c r="Q64" s="59"/>
      <c r="R64" s="60"/>
    </row>
    <row r="65" spans="1:18" ht="21.75" customHeight="1">
      <c r="A65" s="71">
        <v>53</v>
      </c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4"/>
      <c r="N65" s="74"/>
      <c r="O65" s="71"/>
      <c r="P65" s="70"/>
      <c r="Q65" s="59"/>
      <c r="R65" s="60"/>
    </row>
    <row r="66" spans="1:18" ht="21.75" customHeight="1">
      <c r="A66" s="71">
        <v>54</v>
      </c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4"/>
      <c r="N66" s="74"/>
      <c r="O66" s="71"/>
      <c r="P66" s="70"/>
      <c r="Q66" s="59"/>
      <c r="R66" s="60"/>
    </row>
    <row r="67" spans="1:18" ht="21.75" customHeight="1">
      <c r="A67" s="71">
        <v>55</v>
      </c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4"/>
      <c r="N67" s="74"/>
      <c r="O67" s="71"/>
      <c r="P67" s="70"/>
      <c r="Q67" s="59"/>
      <c r="R67" s="60"/>
    </row>
    <row r="68" spans="1:18" ht="21.75" customHeight="1">
      <c r="A68" s="71">
        <v>56</v>
      </c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4"/>
      <c r="N68" s="74"/>
      <c r="O68" s="71"/>
      <c r="P68" s="70"/>
      <c r="Q68" s="59"/>
      <c r="R68" s="60"/>
    </row>
    <row r="69" spans="1:18" ht="21.75" customHeight="1">
      <c r="A69" s="71">
        <v>57</v>
      </c>
      <c r="B69" s="72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4"/>
      <c r="N69" s="74"/>
      <c r="O69" s="71"/>
      <c r="P69" s="70" t="str">
        <f t="shared" ref="P69:P112" si="14">IF($B69="","",IF($O69="ফেল","ফেল",IF($O69="অনুপস্থিত","অনুপস্থিত",IF($O69="অসম্পূর্ণ","অসম্পূর্ণ",IF($Q69=1,"1ম",IF($Q69=2,"2য়",IF($Q69=3,"3য়",$Q69)))))))</f>
        <v/>
      </c>
      <c r="Q69" s="59"/>
      <c r="R69" s="60"/>
    </row>
    <row r="70" spans="1:18" ht="21.75" customHeight="1">
      <c r="A70" s="71">
        <v>58</v>
      </c>
      <c r="B70" s="72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4"/>
      <c r="N70" s="74"/>
      <c r="O70" s="71"/>
      <c r="P70" s="70" t="str">
        <f t="shared" si="14"/>
        <v/>
      </c>
      <c r="Q70" s="59"/>
      <c r="R70" s="60"/>
    </row>
    <row r="71" spans="1:18" ht="21.75" customHeight="1">
      <c r="A71" s="71">
        <v>59</v>
      </c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4"/>
      <c r="N71" s="74"/>
      <c r="O71" s="71"/>
      <c r="P71" s="70" t="str">
        <f t="shared" si="14"/>
        <v/>
      </c>
      <c r="Q71" s="59"/>
      <c r="R71" s="60"/>
    </row>
    <row r="72" spans="1:18" ht="21.75" customHeight="1">
      <c r="A72" s="71">
        <v>60</v>
      </c>
      <c r="B72" s="72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4"/>
      <c r="N72" s="74"/>
      <c r="O72" s="71"/>
      <c r="P72" s="70" t="str">
        <f t="shared" si="14"/>
        <v/>
      </c>
      <c r="Q72" s="59"/>
      <c r="R72" s="60"/>
    </row>
    <row r="73" spans="1:18" ht="21.75" customHeight="1">
      <c r="A73" s="71">
        <v>61</v>
      </c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4"/>
      <c r="N73" s="74"/>
      <c r="O73" s="71"/>
      <c r="P73" s="70" t="str">
        <f t="shared" si="14"/>
        <v/>
      </c>
      <c r="Q73" s="59"/>
      <c r="R73" s="60"/>
    </row>
    <row r="74" spans="1:18" ht="21.75" customHeight="1">
      <c r="A74" s="71">
        <v>62</v>
      </c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4"/>
      <c r="N74" s="74"/>
      <c r="O74" s="71"/>
      <c r="P74" s="70" t="str">
        <f t="shared" si="14"/>
        <v/>
      </c>
      <c r="Q74" s="59"/>
      <c r="R74" s="60"/>
    </row>
    <row r="75" spans="1:18" ht="21.75" customHeight="1">
      <c r="A75" s="71">
        <v>63</v>
      </c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4"/>
      <c r="N75" s="74"/>
      <c r="O75" s="71"/>
      <c r="P75" s="70" t="str">
        <f t="shared" si="14"/>
        <v/>
      </c>
      <c r="Q75" s="59"/>
      <c r="R75" s="60"/>
    </row>
    <row r="76" spans="1:18" ht="21.75" customHeight="1">
      <c r="A76" s="71">
        <v>64</v>
      </c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4"/>
      <c r="N76" s="74"/>
      <c r="O76" s="71"/>
      <c r="P76" s="70" t="str">
        <f t="shared" si="14"/>
        <v/>
      </c>
      <c r="Q76" s="59"/>
      <c r="R76" s="60"/>
    </row>
    <row r="77" spans="1:18" ht="21.75" customHeight="1">
      <c r="A77" s="71">
        <v>65</v>
      </c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4"/>
      <c r="N77" s="74"/>
      <c r="O77" s="71"/>
      <c r="P77" s="70" t="str">
        <f t="shared" si="14"/>
        <v/>
      </c>
      <c r="Q77" s="59"/>
      <c r="R77" s="60"/>
    </row>
    <row r="78" spans="1:18" ht="21.75" customHeight="1">
      <c r="A78" s="71">
        <v>66</v>
      </c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 t="str">
        <f t="shared" ref="L78:L112" si="15">IF($B78="","",IF(COUNT(C78:K78)=0,"",SUM(C78:K78)))</f>
        <v/>
      </c>
      <c r="M78" s="74" t="str">
        <f t="shared" ref="M78:M112" si="16">IF($B78="","",IF(COUNT(C78:K78)=0,"",ROUND(AVERAGE(C78:K78),2)))</f>
        <v/>
      </c>
      <c r="N78" s="74" t="str">
        <f t="shared" ref="N78:N112" si="17">IF($B78="","",IF(COUNT(C78:K78)=0,"",ROUND((IF(ISNUMBER(C78),IF(C78&gt;=80,5,IF(C78&gt;=70,4,IF(C78&gt;=60,3.5,IF(C78&gt;=50,3,IF(C78&gt;=40,2,IF(C78&gt;=33,1,0)))))),0)+IF(ISNUMBER(D78),IF(D78&gt;=80,5,IF(D78&gt;=70,4,IF(D78&gt;=60,3.5,IF(D78&gt;=50,3,IF(D78&gt;=40,2,IF(D78&gt;=33,1,0)))))),0)+IF(ISNUMBER(E78),IF(E78&gt;=80,5,IF(E78&gt;=70,4,IF(E78&gt;=60,3.5,IF(E78&gt;=50,3,IF(E78&gt;=40,2,IF(E78&gt;=33,1,0)))))),0)+IF(ISNUMBER(F78),IF(F78&gt;=80,5,IF(F78&gt;=70,4,IF(F78&gt;=60,3.5,IF(F78&gt;=50,3,IF(F78&gt;=40,2,IF(F78&gt;=33,1,0)))))),0)+IF(ISNUMBER(G78),IF(G78&gt;=80,5,IF(G78&gt;=70,4,IF(G78&gt;=60,3.5,IF(G78&gt;=50,3,IF(G78&gt;=40,2,IF(G78&gt;=33,1,0)))))),0)+IF(ISNUMBER(H78),IF(H78&gt;=80,5,IF(H78&gt;=70,4,IF(H78&gt;=60,3.5,IF(H78&gt;=50,3,IF(H78&gt;=40,2,IF(H78&gt;=33,1,0)))))),0)+IF(ISNUMBER(I78),IF(I78&gt;=80,5,IF(I78&gt;=70,4,IF(I78&gt;=60,3.5,IF(I78&gt;=50,3,IF(I78&gt;=40,2,IF(I78&gt;=33,1,0)))))),0)+IF(ISNUMBER(J78),IF(J78&gt;=80,5,IF(J78&gt;=70,4,IF(J78&gt;=60,3.5,IF(J78&gt;=50,3,IF(J78&gt;=40,2,IF(J78&gt;=33,1,0)))))),0)+IF(ISNUMBER(K78),IF(K78&gt;=80,5,IF(K78&gt;=70,4,IF(K78&gt;=60,3.5,IF(K78&gt;=50,3,IF(K78&gt;=40,2,IF(K78&gt;=33,1,0)))))),0))/COUNT(C78:K78),2)))</f>
        <v/>
      </c>
      <c r="O78" s="71" t="str">
        <f t="shared" ref="O78:O112" si="18">IF($B78="","",IF(N78="","",IF(N78=0,"Fail",IF(N78=5,"A+",IF(N78&gt;=4,"A",IF(N78&gt;=3.5,"A-",IF(N78&gt;=3,"B",IF(N78&gt;=2,"C",IF(N78&gt;=1,"D","F")))))))))</f>
        <v/>
      </c>
      <c r="P78" s="70" t="str">
        <f t="shared" si="14"/>
        <v/>
      </c>
      <c r="Q78" s="59" t="str">
        <f t="shared" ref="Q78:Q112" si="19">IF($B78="","",IF(OR($O78="ফেল",$O78="অনুপস্থিত",$O78="অসম্পূর্ণ"),"",1+SUMPRODUCT(($R$14:$R$112&lt;&gt;"")*($R$14:$R$112&gt;$R78)/COUNTIF($R$14:$R$112,$R$14:$R$112))))</f>
        <v/>
      </c>
      <c r="R78" s="60" t="str">
        <f t="shared" ref="R78:R112" si="20">IF($B78="","",IF(OR($O78="ফেল",$O78="অনুপস্থিত",$O78="অসম্পূর্ণ"),"",$M78))</f>
        <v/>
      </c>
    </row>
    <row r="79" spans="1:18" ht="21.75" customHeight="1">
      <c r="A79" s="71">
        <v>67</v>
      </c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 t="str">
        <f t="shared" si="15"/>
        <v/>
      </c>
      <c r="M79" s="74" t="str">
        <f t="shared" si="16"/>
        <v/>
      </c>
      <c r="N79" s="74" t="str">
        <f t="shared" si="17"/>
        <v/>
      </c>
      <c r="O79" s="71" t="str">
        <f t="shared" si="18"/>
        <v/>
      </c>
      <c r="P79" s="70" t="str">
        <f t="shared" si="14"/>
        <v/>
      </c>
      <c r="Q79" s="59" t="str">
        <f t="shared" si="19"/>
        <v/>
      </c>
      <c r="R79" s="60" t="str">
        <f t="shared" si="20"/>
        <v/>
      </c>
    </row>
    <row r="80" spans="1:18" ht="21.75" customHeight="1">
      <c r="A80" s="71">
        <v>68</v>
      </c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 t="str">
        <f t="shared" si="15"/>
        <v/>
      </c>
      <c r="M80" s="74" t="str">
        <f t="shared" si="16"/>
        <v/>
      </c>
      <c r="N80" s="74" t="str">
        <f t="shared" si="17"/>
        <v/>
      </c>
      <c r="O80" s="71" t="str">
        <f t="shared" si="18"/>
        <v/>
      </c>
      <c r="P80" s="70" t="str">
        <f t="shared" si="14"/>
        <v/>
      </c>
      <c r="Q80" s="59" t="str">
        <f t="shared" si="19"/>
        <v/>
      </c>
      <c r="R80" s="60" t="str">
        <f t="shared" si="20"/>
        <v/>
      </c>
    </row>
    <row r="81" spans="1:18" ht="21.75" customHeight="1">
      <c r="A81" s="71">
        <v>69</v>
      </c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 t="str">
        <f t="shared" si="15"/>
        <v/>
      </c>
      <c r="M81" s="74" t="str">
        <f t="shared" si="16"/>
        <v/>
      </c>
      <c r="N81" s="74" t="str">
        <f t="shared" si="17"/>
        <v/>
      </c>
      <c r="O81" s="71" t="str">
        <f t="shared" si="18"/>
        <v/>
      </c>
      <c r="P81" s="70" t="str">
        <f t="shared" si="14"/>
        <v/>
      </c>
      <c r="Q81" s="59" t="str">
        <f t="shared" si="19"/>
        <v/>
      </c>
      <c r="R81" s="60" t="str">
        <f t="shared" si="20"/>
        <v/>
      </c>
    </row>
    <row r="82" spans="1:18" ht="21.75" customHeight="1">
      <c r="A82" s="71">
        <v>70</v>
      </c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 t="str">
        <f t="shared" si="15"/>
        <v/>
      </c>
      <c r="M82" s="74" t="str">
        <f t="shared" si="16"/>
        <v/>
      </c>
      <c r="N82" s="74" t="str">
        <f t="shared" si="17"/>
        <v/>
      </c>
      <c r="O82" s="71" t="str">
        <f t="shared" si="18"/>
        <v/>
      </c>
      <c r="P82" s="70" t="str">
        <f t="shared" si="14"/>
        <v/>
      </c>
      <c r="Q82" s="59" t="str">
        <f t="shared" si="19"/>
        <v/>
      </c>
      <c r="R82" s="60" t="str">
        <f t="shared" si="20"/>
        <v/>
      </c>
    </row>
    <row r="83" spans="1:18" ht="21.75" customHeight="1">
      <c r="A83" s="71">
        <v>71</v>
      </c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3" t="str">
        <f t="shared" si="15"/>
        <v/>
      </c>
      <c r="M83" s="74" t="str">
        <f t="shared" si="16"/>
        <v/>
      </c>
      <c r="N83" s="74" t="str">
        <f t="shared" si="17"/>
        <v/>
      </c>
      <c r="O83" s="71" t="str">
        <f t="shared" si="18"/>
        <v/>
      </c>
      <c r="P83" s="70" t="str">
        <f t="shared" si="14"/>
        <v/>
      </c>
      <c r="Q83" s="59" t="str">
        <f t="shared" si="19"/>
        <v/>
      </c>
      <c r="R83" s="60" t="str">
        <f t="shared" si="20"/>
        <v/>
      </c>
    </row>
    <row r="84" spans="1:18" ht="21.75" customHeight="1">
      <c r="A84" s="71">
        <v>72</v>
      </c>
      <c r="B84" s="72"/>
      <c r="C84" s="73"/>
      <c r="D84" s="73"/>
      <c r="E84" s="73"/>
      <c r="F84" s="73"/>
      <c r="G84" s="73"/>
      <c r="H84" s="73"/>
      <c r="I84" s="73"/>
      <c r="J84" s="73"/>
      <c r="K84" s="73"/>
      <c r="L84" s="73" t="str">
        <f t="shared" si="15"/>
        <v/>
      </c>
      <c r="M84" s="74" t="str">
        <f t="shared" si="16"/>
        <v/>
      </c>
      <c r="N84" s="74" t="str">
        <f t="shared" si="17"/>
        <v/>
      </c>
      <c r="O84" s="71" t="str">
        <f t="shared" si="18"/>
        <v/>
      </c>
      <c r="P84" s="70" t="str">
        <f t="shared" si="14"/>
        <v/>
      </c>
      <c r="Q84" s="59" t="str">
        <f t="shared" si="19"/>
        <v/>
      </c>
      <c r="R84" s="60" t="str">
        <f t="shared" si="20"/>
        <v/>
      </c>
    </row>
    <row r="85" spans="1:18" ht="21.75" customHeight="1">
      <c r="A85" s="71">
        <v>73</v>
      </c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 t="str">
        <f t="shared" si="15"/>
        <v/>
      </c>
      <c r="M85" s="74" t="str">
        <f t="shared" si="16"/>
        <v/>
      </c>
      <c r="N85" s="74" t="str">
        <f t="shared" si="17"/>
        <v/>
      </c>
      <c r="O85" s="71" t="str">
        <f t="shared" si="18"/>
        <v/>
      </c>
      <c r="P85" s="70" t="str">
        <f t="shared" si="14"/>
        <v/>
      </c>
      <c r="Q85" s="59" t="str">
        <f t="shared" si="19"/>
        <v/>
      </c>
      <c r="R85" s="60" t="str">
        <f t="shared" si="20"/>
        <v/>
      </c>
    </row>
    <row r="86" spans="1:18" ht="21.75" customHeight="1">
      <c r="A86" s="71">
        <v>74</v>
      </c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 t="str">
        <f t="shared" si="15"/>
        <v/>
      </c>
      <c r="M86" s="74" t="str">
        <f t="shared" si="16"/>
        <v/>
      </c>
      <c r="N86" s="74" t="str">
        <f t="shared" si="17"/>
        <v/>
      </c>
      <c r="O86" s="71" t="str">
        <f t="shared" si="18"/>
        <v/>
      </c>
      <c r="P86" s="70" t="str">
        <f t="shared" si="14"/>
        <v/>
      </c>
      <c r="Q86" s="59" t="str">
        <f t="shared" si="19"/>
        <v/>
      </c>
      <c r="R86" s="60" t="str">
        <f t="shared" si="20"/>
        <v/>
      </c>
    </row>
    <row r="87" spans="1:18" ht="21.75" customHeight="1">
      <c r="A87" s="71">
        <v>75</v>
      </c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 t="str">
        <f t="shared" si="15"/>
        <v/>
      </c>
      <c r="M87" s="74" t="str">
        <f t="shared" si="16"/>
        <v/>
      </c>
      <c r="N87" s="74" t="str">
        <f t="shared" si="17"/>
        <v/>
      </c>
      <c r="O87" s="71" t="str">
        <f t="shared" si="18"/>
        <v/>
      </c>
      <c r="P87" s="70" t="str">
        <f t="shared" si="14"/>
        <v/>
      </c>
      <c r="Q87" s="59" t="str">
        <f t="shared" si="19"/>
        <v/>
      </c>
      <c r="R87" s="60" t="str">
        <f t="shared" si="20"/>
        <v/>
      </c>
    </row>
    <row r="88" spans="1:18" ht="21.75" customHeight="1">
      <c r="A88" s="71">
        <v>76</v>
      </c>
      <c r="B88" s="72"/>
      <c r="C88" s="73"/>
      <c r="D88" s="73"/>
      <c r="E88" s="73"/>
      <c r="F88" s="73"/>
      <c r="G88" s="73"/>
      <c r="H88" s="73"/>
      <c r="I88" s="73"/>
      <c r="J88" s="73"/>
      <c r="K88" s="73"/>
      <c r="L88" s="73" t="str">
        <f t="shared" si="15"/>
        <v/>
      </c>
      <c r="M88" s="74" t="str">
        <f t="shared" si="16"/>
        <v/>
      </c>
      <c r="N88" s="74" t="str">
        <f t="shared" si="17"/>
        <v/>
      </c>
      <c r="O88" s="71" t="str">
        <f t="shared" si="18"/>
        <v/>
      </c>
      <c r="P88" s="70" t="str">
        <f t="shared" si="14"/>
        <v/>
      </c>
      <c r="Q88" s="59" t="str">
        <f t="shared" si="19"/>
        <v/>
      </c>
      <c r="R88" s="60" t="str">
        <f t="shared" si="20"/>
        <v/>
      </c>
    </row>
    <row r="89" spans="1:18" ht="21.75" customHeight="1">
      <c r="A89" s="71">
        <v>77</v>
      </c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 t="str">
        <f t="shared" si="15"/>
        <v/>
      </c>
      <c r="M89" s="74" t="str">
        <f t="shared" si="16"/>
        <v/>
      </c>
      <c r="N89" s="74" t="str">
        <f t="shared" si="17"/>
        <v/>
      </c>
      <c r="O89" s="71" t="str">
        <f t="shared" si="18"/>
        <v/>
      </c>
      <c r="P89" s="70" t="str">
        <f t="shared" si="14"/>
        <v/>
      </c>
      <c r="Q89" s="59" t="str">
        <f t="shared" si="19"/>
        <v/>
      </c>
      <c r="R89" s="60" t="str">
        <f t="shared" si="20"/>
        <v/>
      </c>
    </row>
    <row r="90" spans="1:18" ht="21.75" customHeight="1">
      <c r="A90" s="71">
        <v>78</v>
      </c>
      <c r="B90" s="72"/>
      <c r="C90" s="73"/>
      <c r="D90" s="73"/>
      <c r="E90" s="73"/>
      <c r="F90" s="73"/>
      <c r="G90" s="73"/>
      <c r="H90" s="73"/>
      <c r="I90" s="73"/>
      <c r="J90" s="73"/>
      <c r="K90" s="73"/>
      <c r="L90" s="73" t="str">
        <f t="shared" si="15"/>
        <v/>
      </c>
      <c r="M90" s="74" t="str">
        <f t="shared" si="16"/>
        <v/>
      </c>
      <c r="N90" s="74" t="str">
        <f t="shared" si="17"/>
        <v/>
      </c>
      <c r="O90" s="71" t="str">
        <f t="shared" si="18"/>
        <v/>
      </c>
      <c r="P90" s="70" t="str">
        <f t="shared" si="14"/>
        <v/>
      </c>
      <c r="Q90" s="59" t="str">
        <f t="shared" si="19"/>
        <v/>
      </c>
      <c r="R90" s="60" t="str">
        <f t="shared" si="20"/>
        <v/>
      </c>
    </row>
    <row r="91" spans="1:18" ht="21.75" customHeight="1">
      <c r="A91" s="71">
        <v>79</v>
      </c>
      <c r="B91" s="72"/>
      <c r="C91" s="73"/>
      <c r="D91" s="73"/>
      <c r="E91" s="73"/>
      <c r="F91" s="73"/>
      <c r="G91" s="73"/>
      <c r="H91" s="73"/>
      <c r="I91" s="73"/>
      <c r="J91" s="73"/>
      <c r="K91" s="73"/>
      <c r="L91" s="73" t="str">
        <f t="shared" si="15"/>
        <v/>
      </c>
      <c r="M91" s="74" t="str">
        <f t="shared" si="16"/>
        <v/>
      </c>
      <c r="N91" s="74" t="str">
        <f t="shared" si="17"/>
        <v/>
      </c>
      <c r="O91" s="71" t="str">
        <f t="shared" si="18"/>
        <v/>
      </c>
      <c r="P91" s="70" t="str">
        <f t="shared" si="14"/>
        <v/>
      </c>
      <c r="Q91" s="59" t="str">
        <f t="shared" si="19"/>
        <v/>
      </c>
      <c r="R91" s="60" t="str">
        <f t="shared" si="20"/>
        <v/>
      </c>
    </row>
    <row r="92" spans="1:18" ht="21.75" customHeight="1">
      <c r="A92" s="71">
        <v>80</v>
      </c>
      <c r="B92" s="72"/>
      <c r="C92" s="73"/>
      <c r="D92" s="73"/>
      <c r="E92" s="73"/>
      <c r="F92" s="73"/>
      <c r="G92" s="73"/>
      <c r="H92" s="73"/>
      <c r="I92" s="73"/>
      <c r="J92" s="73"/>
      <c r="K92" s="73"/>
      <c r="L92" s="73" t="str">
        <f t="shared" si="15"/>
        <v/>
      </c>
      <c r="M92" s="74" t="str">
        <f t="shared" si="16"/>
        <v/>
      </c>
      <c r="N92" s="74" t="str">
        <f t="shared" si="17"/>
        <v/>
      </c>
      <c r="O92" s="71" t="str">
        <f t="shared" si="18"/>
        <v/>
      </c>
      <c r="P92" s="70" t="str">
        <f t="shared" si="14"/>
        <v/>
      </c>
      <c r="Q92" s="59" t="str">
        <f t="shared" si="19"/>
        <v/>
      </c>
      <c r="R92" s="60" t="str">
        <f t="shared" si="20"/>
        <v/>
      </c>
    </row>
    <row r="93" spans="1:18" ht="21.75" customHeight="1">
      <c r="A93" s="71">
        <v>81</v>
      </c>
      <c r="B93" s="72"/>
      <c r="C93" s="73"/>
      <c r="D93" s="73"/>
      <c r="E93" s="73"/>
      <c r="F93" s="73"/>
      <c r="G93" s="73"/>
      <c r="H93" s="73"/>
      <c r="I93" s="73"/>
      <c r="J93" s="73"/>
      <c r="K93" s="73"/>
      <c r="L93" s="73" t="str">
        <f t="shared" si="15"/>
        <v/>
      </c>
      <c r="M93" s="74" t="str">
        <f t="shared" si="16"/>
        <v/>
      </c>
      <c r="N93" s="74" t="str">
        <f t="shared" si="17"/>
        <v/>
      </c>
      <c r="O93" s="71" t="str">
        <f t="shared" si="18"/>
        <v/>
      </c>
      <c r="P93" s="70" t="str">
        <f t="shared" si="14"/>
        <v/>
      </c>
      <c r="Q93" s="59" t="str">
        <f t="shared" si="19"/>
        <v/>
      </c>
      <c r="R93" s="60" t="str">
        <f t="shared" si="20"/>
        <v/>
      </c>
    </row>
    <row r="94" spans="1:18" ht="21.75" customHeight="1">
      <c r="A94" s="71">
        <v>82</v>
      </c>
      <c r="B94" s="72"/>
      <c r="C94" s="73"/>
      <c r="D94" s="73"/>
      <c r="E94" s="73"/>
      <c r="F94" s="73"/>
      <c r="G94" s="73"/>
      <c r="H94" s="73"/>
      <c r="I94" s="73"/>
      <c r="J94" s="73"/>
      <c r="K94" s="73"/>
      <c r="L94" s="73" t="str">
        <f t="shared" si="15"/>
        <v/>
      </c>
      <c r="M94" s="74" t="str">
        <f t="shared" si="16"/>
        <v/>
      </c>
      <c r="N94" s="74" t="str">
        <f t="shared" si="17"/>
        <v/>
      </c>
      <c r="O94" s="71" t="str">
        <f t="shared" si="18"/>
        <v/>
      </c>
      <c r="P94" s="70" t="str">
        <f t="shared" si="14"/>
        <v/>
      </c>
      <c r="Q94" s="59" t="str">
        <f t="shared" si="19"/>
        <v/>
      </c>
      <c r="R94" s="60" t="str">
        <f t="shared" si="20"/>
        <v/>
      </c>
    </row>
    <row r="95" spans="1:18" ht="21.75" customHeight="1">
      <c r="A95" s="71">
        <v>83</v>
      </c>
      <c r="B95" s="72"/>
      <c r="C95" s="73"/>
      <c r="D95" s="73"/>
      <c r="E95" s="73"/>
      <c r="F95" s="73"/>
      <c r="G95" s="73"/>
      <c r="H95" s="73"/>
      <c r="I95" s="73"/>
      <c r="J95" s="73"/>
      <c r="K95" s="73"/>
      <c r="L95" s="73" t="str">
        <f t="shared" si="15"/>
        <v/>
      </c>
      <c r="M95" s="74" t="str">
        <f t="shared" si="16"/>
        <v/>
      </c>
      <c r="N95" s="74" t="str">
        <f t="shared" si="17"/>
        <v/>
      </c>
      <c r="O95" s="71" t="str">
        <f t="shared" si="18"/>
        <v/>
      </c>
      <c r="P95" s="70" t="str">
        <f t="shared" si="14"/>
        <v/>
      </c>
      <c r="Q95" s="59" t="str">
        <f t="shared" si="19"/>
        <v/>
      </c>
      <c r="R95" s="60" t="str">
        <f t="shared" si="20"/>
        <v/>
      </c>
    </row>
    <row r="96" spans="1:18" ht="21.75" customHeight="1">
      <c r="A96" s="71">
        <v>84</v>
      </c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 t="str">
        <f t="shared" si="15"/>
        <v/>
      </c>
      <c r="M96" s="74" t="str">
        <f t="shared" si="16"/>
        <v/>
      </c>
      <c r="N96" s="74" t="str">
        <f t="shared" si="17"/>
        <v/>
      </c>
      <c r="O96" s="71" t="str">
        <f t="shared" si="18"/>
        <v/>
      </c>
      <c r="P96" s="70" t="str">
        <f t="shared" si="14"/>
        <v/>
      </c>
      <c r="Q96" s="59" t="str">
        <f t="shared" si="19"/>
        <v/>
      </c>
      <c r="R96" s="60" t="str">
        <f t="shared" si="20"/>
        <v/>
      </c>
    </row>
    <row r="97" spans="1:18" ht="21.75" customHeight="1">
      <c r="A97" s="71">
        <v>85</v>
      </c>
      <c r="B97" s="72"/>
      <c r="C97" s="73"/>
      <c r="D97" s="73"/>
      <c r="E97" s="73"/>
      <c r="F97" s="73"/>
      <c r="G97" s="73"/>
      <c r="H97" s="73"/>
      <c r="I97" s="73"/>
      <c r="J97" s="73"/>
      <c r="K97" s="73"/>
      <c r="L97" s="73" t="str">
        <f t="shared" si="15"/>
        <v/>
      </c>
      <c r="M97" s="74" t="str">
        <f t="shared" si="16"/>
        <v/>
      </c>
      <c r="N97" s="74" t="str">
        <f t="shared" si="17"/>
        <v/>
      </c>
      <c r="O97" s="71" t="str">
        <f t="shared" si="18"/>
        <v/>
      </c>
      <c r="P97" s="70" t="str">
        <f t="shared" si="14"/>
        <v/>
      </c>
      <c r="Q97" s="59" t="str">
        <f t="shared" si="19"/>
        <v/>
      </c>
      <c r="R97" s="60" t="str">
        <f t="shared" si="20"/>
        <v/>
      </c>
    </row>
    <row r="98" spans="1:18" ht="21.75" customHeight="1">
      <c r="A98" s="71">
        <v>86</v>
      </c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 t="str">
        <f t="shared" si="15"/>
        <v/>
      </c>
      <c r="M98" s="74" t="str">
        <f t="shared" si="16"/>
        <v/>
      </c>
      <c r="N98" s="74" t="str">
        <f t="shared" si="17"/>
        <v/>
      </c>
      <c r="O98" s="71" t="str">
        <f t="shared" si="18"/>
        <v/>
      </c>
      <c r="P98" s="70" t="str">
        <f t="shared" si="14"/>
        <v/>
      </c>
      <c r="Q98" s="59" t="str">
        <f t="shared" si="19"/>
        <v/>
      </c>
      <c r="R98" s="60" t="str">
        <f t="shared" si="20"/>
        <v/>
      </c>
    </row>
    <row r="99" spans="1:18" ht="21.75" customHeight="1">
      <c r="A99" s="71">
        <v>87</v>
      </c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 t="str">
        <f t="shared" si="15"/>
        <v/>
      </c>
      <c r="M99" s="74" t="str">
        <f t="shared" si="16"/>
        <v/>
      </c>
      <c r="N99" s="74" t="str">
        <f t="shared" si="17"/>
        <v/>
      </c>
      <c r="O99" s="71" t="str">
        <f t="shared" si="18"/>
        <v/>
      </c>
      <c r="P99" s="70" t="str">
        <f t="shared" si="14"/>
        <v/>
      </c>
      <c r="Q99" s="59" t="str">
        <f t="shared" si="19"/>
        <v/>
      </c>
      <c r="R99" s="60" t="str">
        <f t="shared" si="20"/>
        <v/>
      </c>
    </row>
    <row r="100" spans="1:18" ht="21.75" customHeight="1">
      <c r="A100" s="71">
        <v>88</v>
      </c>
      <c r="B100" s="72"/>
      <c r="C100" s="73"/>
      <c r="D100" s="73"/>
      <c r="E100" s="73"/>
      <c r="F100" s="73"/>
      <c r="G100" s="73"/>
      <c r="H100" s="73"/>
      <c r="I100" s="73"/>
      <c r="J100" s="73"/>
      <c r="K100" s="73"/>
      <c r="L100" s="73" t="str">
        <f t="shared" si="15"/>
        <v/>
      </c>
      <c r="M100" s="74" t="str">
        <f t="shared" si="16"/>
        <v/>
      </c>
      <c r="N100" s="74" t="str">
        <f t="shared" si="17"/>
        <v/>
      </c>
      <c r="O100" s="71" t="str">
        <f t="shared" si="18"/>
        <v/>
      </c>
      <c r="P100" s="70" t="str">
        <f t="shared" si="14"/>
        <v/>
      </c>
      <c r="Q100" s="59" t="str">
        <f t="shared" si="19"/>
        <v/>
      </c>
      <c r="R100" s="60" t="str">
        <f t="shared" si="20"/>
        <v/>
      </c>
    </row>
    <row r="101" spans="1:18" ht="21.75" customHeight="1">
      <c r="A101" s="71">
        <v>89</v>
      </c>
      <c r="B101" s="72"/>
      <c r="C101" s="73"/>
      <c r="D101" s="73"/>
      <c r="E101" s="73"/>
      <c r="F101" s="73"/>
      <c r="G101" s="73"/>
      <c r="H101" s="73"/>
      <c r="I101" s="73"/>
      <c r="J101" s="73"/>
      <c r="K101" s="73"/>
      <c r="L101" s="73" t="str">
        <f t="shared" si="15"/>
        <v/>
      </c>
      <c r="M101" s="74" t="str">
        <f t="shared" si="16"/>
        <v/>
      </c>
      <c r="N101" s="74" t="str">
        <f t="shared" si="17"/>
        <v/>
      </c>
      <c r="O101" s="71" t="str">
        <f t="shared" si="18"/>
        <v/>
      </c>
      <c r="P101" s="70" t="str">
        <f t="shared" si="14"/>
        <v/>
      </c>
      <c r="Q101" s="59" t="str">
        <f t="shared" si="19"/>
        <v/>
      </c>
      <c r="R101" s="60" t="str">
        <f t="shared" si="20"/>
        <v/>
      </c>
    </row>
    <row r="102" spans="1:18" ht="21.75" customHeight="1">
      <c r="A102" s="71">
        <v>90</v>
      </c>
      <c r="B102" s="72"/>
      <c r="C102" s="73"/>
      <c r="D102" s="73"/>
      <c r="E102" s="73"/>
      <c r="F102" s="73"/>
      <c r="G102" s="73"/>
      <c r="H102" s="73"/>
      <c r="I102" s="73"/>
      <c r="J102" s="73"/>
      <c r="K102" s="73"/>
      <c r="L102" s="73" t="str">
        <f t="shared" si="15"/>
        <v/>
      </c>
      <c r="M102" s="74" t="str">
        <f t="shared" si="16"/>
        <v/>
      </c>
      <c r="N102" s="74" t="str">
        <f t="shared" si="17"/>
        <v/>
      </c>
      <c r="O102" s="71" t="str">
        <f t="shared" si="18"/>
        <v/>
      </c>
      <c r="P102" s="70" t="str">
        <f t="shared" si="14"/>
        <v/>
      </c>
      <c r="Q102" s="59" t="str">
        <f t="shared" si="19"/>
        <v/>
      </c>
      <c r="R102" s="60" t="str">
        <f t="shared" si="20"/>
        <v/>
      </c>
    </row>
    <row r="103" spans="1:18" ht="21.75" customHeight="1">
      <c r="A103" s="71">
        <v>91</v>
      </c>
      <c r="B103" s="72"/>
      <c r="C103" s="73"/>
      <c r="D103" s="73"/>
      <c r="E103" s="73"/>
      <c r="F103" s="73"/>
      <c r="G103" s="73"/>
      <c r="H103" s="73"/>
      <c r="I103" s="73"/>
      <c r="J103" s="73"/>
      <c r="K103" s="73"/>
      <c r="L103" s="73" t="str">
        <f t="shared" si="15"/>
        <v/>
      </c>
      <c r="M103" s="74" t="str">
        <f t="shared" si="16"/>
        <v/>
      </c>
      <c r="N103" s="74" t="str">
        <f t="shared" si="17"/>
        <v/>
      </c>
      <c r="O103" s="71" t="str">
        <f t="shared" si="18"/>
        <v/>
      </c>
      <c r="P103" s="70" t="str">
        <f t="shared" si="14"/>
        <v/>
      </c>
      <c r="Q103" s="59" t="str">
        <f t="shared" si="19"/>
        <v/>
      </c>
      <c r="R103" s="60" t="str">
        <f t="shared" si="20"/>
        <v/>
      </c>
    </row>
    <row r="104" spans="1:18" ht="21.75" customHeight="1">
      <c r="A104" s="71">
        <v>92</v>
      </c>
      <c r="B104" s="72"/>
      <c r="C104" s="73"/>
      <c r="D104" s="73"/>
      <c r="E104" s="73"/>
      <c r="F104" s="73"/>
      <c r="G104" s="73"/>
      <c r="H104" s="73"/>
      <c r="I104" s="73"/>
      <c r="J104" s="73"/>
      <c r="K104" s="73"/>
      <c r="L104" s="73" t="str">
        <f t="shared" si="15"/>
        <v/>
      </c>
      <c r="M104" s="74" t="str">
        <f t="shared" si="16"/>
        <v/>
      </c>
      <c r="N104" s="74" t="str">
        <f t="shared" si="17"/>
        <v/>
      </c>
      <c r="O104" s="71" t="str">
        <f t="shared" si="18"/>
        <v/>
      </c>
      <c r="P104" s="70" t="str">
        <f t="shared" si="14"/>
        <v/>
      </c>
      <c r="Q104" s="59" t="str">
        <f t="shared" si="19"/>
        <v/>
      </c>
      <c r="R104" s="60" t="str">
        <f t="shared" si="20"/>
        <v/>
      </c>
    </row>
    <row r="105" spans="1:18" ht="21.75" customHeight="1">
      <c r="A105" s="71">
        <v>93</v>
      </c>
      <c r="B105" s="72"/>
      <c r="C105" s="73"/>
      <c r="D105" s="73"/>
      <c r="E105" s="73"/>
      <c r="F105" s="73"/>
      <c r="G105" s="73"/>
      <c r="H105" s="73"/>
      <c r="I105" s="73"/>
      <c r="J105" s="73"/>
      <c r="K105" s="73"/>
      <c r="L105" s="73" t="str">
        <f t="shared" si="15"/>
        <v/>
      </c>
      <c r="M105" s="74" t="str">
        <f t="shared" si="16"/>
        <v/>
      </c>
      <c r="N105" s="74" t="str">
        <f t="shared" si="17"/>
        <v/>
      </c>
      <c r="O105" s="71" t="str">
        <f t="shared" si="18"/>
        <v/>
      </c>
      <c r="P105" s="70" t="str">
        <f t="shared" si="14"/>
        <v/>
      </c>
      <c r="Q105" s="59" t="str">
        <f t="shared" si="19"/>
        <v/>
      </c>
      <c r="R105" s="60" t="str">
        <f t="shared" si="20"/>
        <v/>
      </c>
    </row>
    <row r="106" spans="1:18" ht="21.75" customHeight="1">
      <c r="A106" s="71">
        <v>94</v>
      </c>
      <c r="B106" s="72"/>
      <c r="C106" s="73"/>
      <c r="D106" s="73"/>
      <c r="E106" s="73"/>
      <c r="F106" s="73"/>
      <c r="G106" s="73"/>
      <c r="H106" s="73"/>
      <c r="I106" s="73"/>
      <c r="J106" s="73"/>
      <c r="K106" s="73"/>
      <c r="L106" s="73" t="str">
        <f t="shared" si="15"/>
        <v/>
      </c>
      <c r="M106" s="74" t="str">
        <f t="shared" si="16"/>
        <v/>
      </c>
      <c r="N106" s="74" t="str">
        <f t="shared" si="17"/>
        <v/>
      </c>
      <c r="O106" s="71" t="str">
        <f t="shared" si="18"/>
        <v/>
      </c>
      <c r="P106" s="70" t="str">
        <f t="shared" si="14"/>
        <v/>
      </c>
      <c r="Q106" s="59" t="str">
        <f t="shared" si="19"/>
        <v/>
      </c>
      <c r="R106" s="60" t="str">
        <f t="shared" si="20"/>
        <v/>
      </c>
    </row>
    <row r="107" spans="1:18" ht="21.75" customHeight="1">
      <c r="A107" s="71">
        <v>95</v>
      </c>
      <c r="B107" s="72"/>
      <c r="C107" s="73"/>
      <c r="D107" s="73"/>
      <c r="E107" s="73"/>
      <c r="F107" s="73"/>
      <c r="G107" s="73"/>
      <c r="H107" s="73"/>
      <c r="I107" s="73"/>
      <c r="J107" s="73"/>
      <c r="K107" s="73"/>
      <c r="L107" s="73" t="str">
        <f t="shared" si="15"/>
        <v/>
      </c>
      <c r="M107" s="74" t="str">
        <f t="shared" si="16"/>
        <v/>
      </c>
      <c r="N107" s="74" t="str">
        <f t="shared" si="17"/>
        <v/>
      </c>
      <c r="O107" s="71" t="str">
        <f t="shared" si="18"/>
        <v/>
      </c>
      <c r="P107" s="70" t="str">
        <f t="shared" si="14"/>
        <v/>
      </c>
      <c r="Q107" s="59" t="str">
        <f t="shared" si="19"/>
        <v/>
      </c>
      <c r="R107" s="60" t="str">
        <f t="shared" si="20"/>
        <v/>
      </c>
    </row>
    <row r="108" spans="1:18" ht="21.75" customHeight="1">
      <c r="A108" s="71">
        <v>96</v>
      </c>
      <c r="B108" s="72"/>
      <c r="C108" s="73"/>
      <c r="D108" s="73"/>
      <c r="E108" s="73"/>
      <c r="F108" s="73"/>
      <c r="G108" s="73"/>
      <c r="H108" s="73"/>
      <c r="I108" s="73"/>
      <c r="J108" s="73"/>
      <c r="K108" s="73"/>
      <c r="L108" s="73" t="str">
        <f t="shared" si="15"/>
        <v/>
      </c>
      <c r="M108" s="74" t="str">
        <f t="shared" si="16"/>
        <v/>
      </c>
      <c r="N108" s="74" t="str">
        <f t="shared" si="17"/>
        <v/>
      </c>
      <c r="O108" s="71" t="str">
        <f t="shared" si="18"/>
        <v/>
      </c>
      <c r="P108" s="70" t="str">
        <f t="shared" si="14"/>
        <v/>
      </c>
      <c r="Q108" s="59" t="str">
        <f t="shared" si="19"/>
        <v/>
      </c>
      <c r="R108" s="60" t="str">
        <f t="shared" si="20"/>
        <v/>
      </c>
    </row>
    <row r="109" spans="1:18" ht="21.75" customHeight="1">
      <c r="A109" s="71">
        <v>97</v>
      </c>
      <c r="B109" s="72"/>
      <c r="C109" s="73"/>
      <c r="D109" s="73"/>
      <c r="E109" s="73"/>
      <c r="F109" s="73"/>
      <c r="G109" s="73"/>
      <c r="H109" s="73"/>
      <c r="I109" s="73"/>
      <c r="J109" s="73"/>
      <c r="K109" s="73"/>
      <c r="L109" s="73" t="str">
        <f t="shared" si="15"/>
        <v/>
      </c>
      <c r="M109" s="74" t="str">
        <f t="shared" si="16"/>
        <v/>
      </c>
      <c r="N109" s="74" t="str">
        <f t="shared" si="17"/>
        <v/>
      </c>
      <c r="O109" s="71" t="str">
        <f t="shared" si="18"/>
        <v/>
      </c>
      <c r="P109" s="70" t="str">
        <f t="shared" si="14"/>
        <v/>
      </c>
      <c r="Q109" s="59" t="str">
        <f t="shared" si="19"/>
        <v/>
      </c>
      <c r="R109" s="60" t="str">
        <f t="shared" si="20"/>
        <v/>
      </c>
    </row>
    <row r="110" spans="1:18" ht="21.75" customHeight="1">
      <c r="A110" s="71">
        <v>98</v>
      </c>
      <c r="B110" s="72"/>
      <c r="C110" s="73"/>
      <c r="D110" s="73"/>
      <c r="E110" s="73"/>
      <c r="F110" s="73"/>
      <c r="G110" s="73"/>
      <c r="H110" s="73"/>
      <c r="I110" s="73"/>
      <c r="J110" s="73"/>
      <c r="K110" s="73"/>
      <c r="L110" s="73" t="str">
        <f t="shared" si="15"/>
        <v/>
      </c>
      <c r="M110" s="74" t="str">
        <f t="shared" si="16"/>
        <v/>
      </c>
      <c r="N110" s="74" t="str">
        <f t="shared" si="17"/>
        <v/>
      </c>
      <c r="O110" s="71" t="str">
        <f t="shared" si="18"/>
        <v/>
      </c>
      <c r="P110" s="70" t="str">
        <f t="shared" si="14"/>
        <v/>
      </c>
      <c r="Q110" s="59" t="str">
        <f t="shared" si="19"/>
        <v/>
      </c>
      <c r="R110" s="60" t="str">
        <f t="shared" si="20"/>
        <v/>
      </c>
    </row>
    <row r="111" spans="1:18" ht="21.75" customHeight="1">
      <c r="A111" s="71">
        <v>99</v>
      </c>
      <c r="B111" s="72"/>
      <c r="C111" s="73"/>
      <c r="D111" s="73"/>
      <c r="E111" s="73"/>
      <c r="F111" s="73"/>
      <c r="G111" s="73"/>
      <c r="H111" s="73"/>
      <c r="I111" s="73"/>
      <c r="J111" s="73"/>
      <c r="K111" s="73"/>
      <c r="L111" s="73" t="str">
        <f t="shared" si="15"/>
        <v/>
      </c>
      <c r="M111" s="74" t="str">
        <f t="shared" si="16"/>
        <v/>
      </c>
      <c r="N111" s="74" t="str">
        <f t="shared" si="17"/>
        <v/>
      </c>
      <c r="O111" s="71" t="str">
        <f t="shared" si="18"/>
        <v/>
      </c>
      <c r="P111" s="70" t="str">
        <f t="shared" si="14"/>
        <v/>
      </c>
      <c r="Q111" s="59" t="str">
        <f t="shared" si="19"/>
        <v/>
      </c>
      <c r="R111" s="60" t="str">
        <f t="shared" si="20"/>
        <v/>
      </c>
    </row>
    <row r="112" spans="1:18" ht="21.75" customHeight="1">
      <c r="A112" s="71">
        <v>100</v>
      </c>
      <c r="B112" s="72"/>
      <c r="C112" s="73"/>
      <c r="D112" s="73"/>
      <c r="E112" s="73"/>
      <c r="F112" s="73"/>
      <c r="G112" s="73"/>
      <c r="H112" s="73"/>
      <c r="I112" s="73"/>
      <c r="J112" s="73"/>
      <c r="K112" s="73"/>
      <c r="L112" s="73" t="str">
        <f t="shared" si="15"/>
        <v/>
      </c>
      <c r="M112" s="74" t="str">
        <f t="shared" si="16"/>
        <v/>
      </c>
      <c r="N112" s="74" t="str">
        <f t="shared" si="17"/>
        <v/>
      </c>
      <c r="O112" s="71" t="str">
        <f t="shared" si="18"/>
        <v/>
      </c>
      <c r="P112" s="70" t="str">
        <f t="shared" si="14"/>
        <v/>
      </c>
      <c r="Q112" s="59" t="str">
        <f t="shared" si="19"/>
        <v/>
      </c>
      <c r="R112" s="60" t="str">
        <f t="shared" si="20"/>
        <v/>
      </c>
    </row>
    <row r="113" spans="1:16" ht="15" customHeight="1"/>
    <row r="114" spans="1:16" ht="15" hidden="1"/>
    <row r="115" spans="1:16" ht="15" customHeight="1">
      <c r="A115" s="127" t="s">
        <v>58</v>
      </c>
      <c r="B115" s="127"/>
      <c r="C115" s="127"/>
      <c r="D115" s="127"/>
    </row>
    <row r="116" spans="1:16" ht="15" customHeight="1">
      <c r="A116" s="75" t="s">
        <v>3</v>
      </c>
      <c r="B116" s="75" t="s">
        <v>4</v>
      </c>
      <c r="C116" s="75">
        <v>5</v>
      </c>
    </row>
    <row r="117" spans="1:16" ht="15" customHeight="1">
      <c r="A117" s="75" t="s">
        <v>6</v>
      </c>
      <c r="B117" s="75" t="s">
        <v>7</v>
      </c>
      <c r="C117" s="75">
        <v>4</v>
      </c>
    </row>
    <row r="118" spans="1:16" ht="15" customHeight="1">
      <c r="A118" s="75" t="s">
        <v>59</v>
      </c>
      <c r="B118" s="75" t="s">
        <v>9</v>
      </c>
      <c r="C118" s="75">
        <v>3.5</v>
      </c>
    </row>
    <row r="119" spans="1:16" ht="15" customHeight="1">
      <c r="A119" s="75" t="s">
        <v>60</v>
      </c>
      <c r="B119" s="75" t="s">
        <v>11</v>
      </c>
      <c r="C119" s="75">
        <v>3</v>
      </c>
    </row>
    <row r="120" spans="1:16" ht="15" customHeight="1">
      <c r="A120" s="75" t="s">
        <v>61</v>
      </c>
      <c r="B120" s="75" t="s">
        <v>13</v>
      </c>
      <c r="C120" s="75">
        <v>2</v>
      </c>
    </row>
    <row r="121" spans="1:16" ht="15" customHeight="1">
      <c r="A121" s="75" t="s">
        <v>62</v>
      </c>
      <c r="B121" s="75" t="s">
        <v>15</v>
      </c>
      <c r="C121" s="75">
        <v>1</v>
      </c>
    </row>
    <row r="122" spans="1:16" ht="15" customHeight="1">
      <c r="A122" s="75" t="s">
        <v>17</v>
      </c>
      <c r="B122" s="75" t="s">
        <v>18</v>
      </c>
      <c r="C122" s="75">
        <v>0</v>
      </c>
    </row>
    <row r="123" spans="1:16" ht="15" customHeight="1">
      <c r="A123" s="128" t="s">
        <v>95</v>
      </c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</row>
  </sheetData>
  <mergeCells count="9">
    <mergeCell ref="A115:D115"/>
    <mergeCell ref="A123:P123"/>
    <mergeCell ref="N1:P1"/>
    <mergeCell ref="N4:P4"/>
    <mergeCell ref="C6:M7"/>
    <mergeCell ref="A10:B11"/>
    <mergeCell ref="D10:F11"/>
    <mergeCell ref="G10:G11"/>
    <mergeCell ref="H10:L11"/>
  </mergeCells>
  <conditionalFormatting sqref="O14:O19">
    <cfRule type="cellIs" dxfId="14" priority="2" operator="equal">
      <formula>"ফেল"</formula>
    </cfRule>
  </conditionalFormatting>
  <conditionalFormatting sqref="O20:O112">
    <cfRule type="cellIs" dxfId="13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topLeftCell="A3" zoomScale="70" zoomScaleNormal="70" workbookViewId="0">
      <selection activeCell="E16" sqref="E16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10" width="11.7109375" style="1" customWidth="1"/>
    <col min="11" max="11" width="13.140625" style="1" customWidth="1"/>
    <col min="12" max="12" width="11" style="1" customWidth="1"/>
    <col min="13" max="13" width="10.7109375" style="1" customWidth="1"/>
    <col min="14" max="14" width="11.7109375" style="1" customWidth="1"/>
    <col min="15" max="15" width="10" style="1" hidden="1" customWidth="1"/>
    <col min="16" max="16" width="13" style="1" hidden="1" customWidth="1"/>
  </cols>
  <sheetData>
    <row r="1" spans="1:19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119"/>
      <c r="M1" s="119"/>
      <c r="N1" s="119"/>
    </row>
    <row r="2" spans="1:19" ht="8.25" hidden="1" customHeight="1">
      <c r="A2" s="2"/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5"/>
    </row>
    <row r="3" spans="1:19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4"/>
      <c r="M3" s="4"/>
      <c r="N3" s="4"/>
    </row>
    <row r="4" spans="1:19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20" t="s">
        <v>2</v>
      </c>
      <c r="M4" s="120"/>
      <c r="N4" s="120"/>
    </row>
    <row r="5" spans="1:19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6" t="s">
        <v>3</v>
      </c>
      <c r="M5" s="6" t="s">
        <v>4</v>
      </c>
      <c r="N5" s="6">
        <v>5</v>
      </c>
    </row>
    <row r="6" spans="1:19" ht="21" customHeight="1">
      <c r="A6" s="2"/>
      <c r="B6" s="2"/>
      <c r="C6" s="216" t="s">
        <v>203</v>
      </c>
      <c r="D6" s="121"/>
      <c r="E6" s="121"/>
      <c r="F6" s="121"/>
      <c r="G6" s="121"/>
      <c r="H6" s="121"/>
      <c r="I6" s="121"/>
      <c r="J6" s="121"/>
      <c r="K6" s="121"/>
      <c r="L6" s="8" t="s">
        <v>6</v>
      </c>
      <c r="M6" s="9" t="s">
        <v>7</v>
      </c>
      <c r="N6" s="10">
        <v>4</v>
      </c>
    </row>
    <row r="7" spans="1:19" ht="21" customHeight="1">
      <c r="A7" s="2"/>
      <c r="B7" s="2"/>
      <c r="C7" s="121"/>
      <c r="D7" s="121"/>
      <c r="E7" s="121"/>
      <c r="F7" s="121"/>
      <c r="G7" s="121"/>
      <c r="H7" s="121"/>
      <c r="I7" s="121"/>
      <c r="J7" s="121"/>
      <c r="K7" s="121"/>
      <c r="L7" s="11" t="s">
        <v>8</v>
      </c>
      <c r="M7" s="6" t="s">
        <v>9</v>
      </c>
      <c r="N7" s="12">
        <v>3.5</v>
      </c>
    </row>
    <row r="8" spans="1:19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1" t="s">
        <v>10</v>
      </c>
      <c r="M8" s="6" t="s">
        <v>11</v>
      </c>
      <c r="N8" s="12">
        <v>3</v>
      </c>
    </row>
    <row r="9" spans="1:19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1" t="s">
        <v>12</v>
      </c>
      <c r="M9" s="6" t="s">
        <v>13</v>
      </c>
      <c r="N9" s="12">
        <v>2</v>
      </c>
    </row>
    <row r="10" spans="1:19" ht="21" customHeight="1">
      <c r="A10" s="122"/>
      <c r="B10" s="122"/>
      <c r="C10" s="13"/>
      <c r="D10" s="123"/>
      <c r="E10" s="123"/>
      <c r="F10" s="123"/>
      <c r="G10" s="124"/>
      <c r="H10" s="125"/>
      <c r="I10" s="125"/>
      <c r="J10" s="125"/>
      <c r="K10" s="14"/>
      <c r="L10" s="11" t="s">
        <v>14</v>
      </c>
      <c r="M10" s="6" t="s">
        <v>15</v>
      </c>
      <c r="N10" s="12">
        <v>1</v>
      </c>
      <c r="Q10" t="s">
        <v>16</v>
      </c>
    </row>
    <row r="11" spans="1:19" ht="21" customHeight="1">
      <c r="A11" s="122"/>
      <c r="B11" s="122"/>
      <c r="C11" s="13"/>
      <c r="D11" s="123"/>
      <c r="E11" s="123"/>
      <c r="F11" s="123"/>
      <c r="G11" s="124"/>
      <c r="H11" s="125"/>
      <c r="I11" s="125"/>
      <c r="J11" s="125"/>
      <c r="K11" s="14"/>
      <c r="L11" s="15" t="s">
        <v>17</v>
      </c>
      <c r="M11" s="16" t="s">
        <v>18</v>
      </c>
      <c r="N11" s="17">
        <v>0</v>
      </c>
    </row>
    <row r="12" spans="1:19" ht="6.75" customHeight="1" thickBo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9" s="19" customFormat="1" ht="60.75" customHeight="1" thickBot="1">
      <c r="A13" s="185" t="s">
        <v>19</v>
      </c>
      <c r="B13" s="140" t="s">
        <v>20</v>
      </c>
      <c r="C13" s="186" t="s">
        <v>96</v>
      </c>
      <c r="D13" s="187" t="s">
        <v>97</v>
      </c>
      <c r="E13" s="186" t="s">
        <v>98</v>
      </c>
      <c r="F13" s="187" t="s">
        <v>99</v>
      </c>
      <c r="G13" s="186" t="s">
        <v>100</v>
      </c>
      <c r="H13" s="187" t="s">
        <v>101</v>
      </c>
      <c r="I13" s="187" t="s">
        <v>25</v>
      </c>
      <c r="J13" s="188" t="s">
        <v>29</v>
      </c>
      <c r="K13" s="189" t="s">
        <v>30</v>
      </c>
      <c r="L13" s="188" t="s">
        <v>31</v>
      </c>
      <c r="M13" s="189" t="s">
        <v>32</v>
      </c>
      <c r="N13" s="190" t="s">
        <v>33</v>
      </c>
    </row>
    <row r="14" spans="1:19" ht="30" customHeight="1">
      <c r="A14" s="191">
        <v>1</v>
      </c>
      <c r="B14" s="138" t="s">
        <v>102</v>
      </c>
      <c r="C14" s="192">
        <v>85</v>
      </c>
      <c r="D14" s="193">
        <v>69</v>
      </c>
      <c r="E14" s="193">
        <v>43</v>
      </c>
      <c r="F14" s="193">
        <v>79</v>
      </c>
      <c r="G14" s="193">
        <v>90</v>
      </c>
      <c r="H14" s="193">
        <v>41</v>
      </c>
      <c r="I14" s="193">
        <v>44</v>
      </c>
      <c r="J14" s="194">
        <f t="shared" ref="J14:J45" si="0">IF($B14="","",IF(COUNT(C14:I14)=0,"",SUM(C14:I14)))</f>
        <v>451</v>
      </c>
      <c r="K14" s="195">
        <f t="shared" ref="K14:K45" si="1">IF($B14="","",IF(COUNT(C14:I14)=0,"",ROUND(SUM(C14:I14)/COLUMNS(C14:I14),2)))</f>
        <v>64.430000000000007</v>
      </c>
      <c r="L14" s="77">
        <f t="shared" ref="L14:L45" si="2">IF($B14="","",IF(COUNT(C14:I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)/COLUMNS(C14:I14),2)))</f>
        <v>3.36</v>
      </c>
      <c r="M14" s="22" t="str">
        <f t="shared" ref="M14:M45" si="3">IF($B14="","",IF(L14="","",IF(L14=0,"Fail",IF(L14=5,"A+",IF(L14&gt;=4,"A",IF(L14&gt;=3.5,"A-",IF(L14&gt;=3,"B",IF(L14&gt;=2,"C",IF(L14&gt;=1,"D","F")))))))))</f>
        <v>B</v>
      </c>
      <c r="N14" s="148">
        <f t="shared" ref="N14:N45" si="4">IF($B14="","",IF($O14="","",IF($O14=1,"1g",IF($O14=2,"2q",IF($O14=3,"3q",$O14)))))</f>
        <v>5</v>
      </c>
      <c r="O14" s="24">
        <f t="shared" ref="O14:O45" si="5">IF($B14="","",IF(OR($M14="ফেল",$M14="অনুপস্থিত",$M14="অসম্পূর্ণ"),"",1+SUMPRODUCT(($P$14:$P$63&lt;&gt;"")*($P$14:$P$63&gt;P14)/COUNTIF($P$14:$P$63,$P$14:$P$63))))</f>
        <v>5</v>
      </c>
      <c r="P14" s="25">
        <f t="shared" ref="P14:P45" si="6">IF($B14="","",K14)</f>
        <v>64.430000000000007</v>
      </c>
    </row>
    <row r="15" spans="1:19" ht="30" customHeight="1">
      <c r="A15" s="196">
        <v>2</v>
      </c>
      <c r="B15" s="138" t="s">
        <v>103</v>
      </c>
      <c r="C15" s="145">
        <v>96</v>
      </c>
      <c r="D15" s="146">
        <v>95</v>
      </c>
      <c r="E15" s="146">
        <v>50</v>
      </c>
      <c r="F15" s="146">
        <v>85</v>
      </c>
      <c r="G15" s="146">
        <v>90</v>
      </c>
      <c r="H15" s="146">
        <v>53</v>
      </c>
      <c r="I15" s="146">
        <v>50</v>
      </c>
      <c r="J15" s="146">
        <f t="shared" si="0"/>
        <v>519</v>
      </c>
      <c r="K15" s="195">
        <f t="shared" si="1"/>
        <v>74.14</v>
      </c>
      <c r="L15" s="77">
        <f t="shared" si="2"/>
        <v>4.1399999999999997</v>
      </c>
      <c r="M15" s="22" t="str">
        <f t="shared" si="3"/>
        <v>A</v>
      </c>
      <c r="N15" s="148" t="str">
        <f t="shared" si="4"/>
        <v>1g</v>
      </c>
      <c r="O15" s="24">
        <f t="shared" si="5"/>
        <v>1</v>
      </c>
      <c r="P15" s="25">
        <f t="shared" si="6"/>
        <v>74.14</v>
      </c>
    </row>
    <row r="16" spans="1:19" ht="30" customHeight="1">
      <c r="A16" s="196">
        <v>3</v>
      </c>
      <c r="B16" s="138" t="s">
        <v>104</v>
      </c>
      <c r="C16" s="145">
        <v>84</v>
      </c>
      <c r="D16" s="146">
        <v>80</v>
      </c>
      <c r="E16" s="146">
        <v>71</v>
      </c>
      <c r="F16" s="146">
        <v>56</v>
      </c>
      <c r="G16" s="146">
        <v>67</v>
      </c>
      <c r="H16" s="149">
        <v>47</v>
      </c>
      <c r="I16" s="146">
        <v>71</v>
      </c>
      <c r="J16" s="146">
        <f t="shared" si="0"/>
        <v>476</v>
      </c>
      <c r="K16" s="195">
        <f t="shared" si="1"/>
        <v>68</v>
      </c>
      <c r="L16" s="77">
        <f t="shared" si="2"/>
        <v>3.79</v>
      </c>
      <c r="M16" s="22" t="str">
        <f t="shared" si="3"/>
        <v>A-</v>
      </c>
      <c r="N16" s="148" t="str">
        <f t="shared" si="4"/>
        <v>3q</v>
      </c>
      <c r="O16" s="24">
        <f t="shared" si="5"/>
        <v>3</v>
      </c>
      <c r="P16" s="25">
        <f t="shared" si="6"/>
        <v>68</v>
      </c>
      <c r="S16" s="26"/>
    </row>
    <row r="17" spans="1:16" ht="30" customHeight="1">
      <c r="A17" s="196">
        <v>4</v>
      </c>
      <c r="B17" s="138" t="s">
        <v>105</v>
      </c>
      <c r="C17" s="145">
        <v>80</v>
      </c>
      <c r="D17" s="146">
        <v>74</v>
      </c>
      <c r="E17" s="146">
        <v>80</v>
      </c>
      <c r="F17" s="146">
        <v>44</v>
      </c>
      <c r="G17" s="146">
        <v>92</v>
      </c>
      <c r="H17" s="146">
        <v>57</v>
      </c>
      <c r="I17" s="146">
        <v>43</v>
      </c>
      <c r="J17" s="146">
        <f t="shared" si="0"/>
        <v>470</v>
      </c>
      <c r="K17" s="195">
        <f t="shared" si="1"/>
        <v>67.14</v>
      </c>
      <c r="L17" s="77">
        <f t="shared" si="2"/>
        <v>3.71</v>
      </c>
      <c r="M17" s="22" t="str">
        <f t="shared" si="3"/>
        <v>A-</v>
      </c>
      <c r="N17" s="148">
        <f t="shared" si="4"/>
        <v>4</v>
      </c>
      <c r="O17" s="24">
        <f t="shared" si="5"/>
        <v>4</v>
      </c>
      <c r="P17" s="25">
        <f t="shared" si="6"/>
        <v>67.14</v>
      </c>
    </row>
    <row r="18" spans="1:16" ht="30" customHeight="1">
      <c r="A18" s="196">
        <v>5</v>
      </c>
      <c r="B18" s="138" t="s">
        <v>106</v>
      </c>
      <c r="C18" s="145">
        <v>76</v>
      </c>
      <c r="D18" s="146">
        <v>48</v>
      </c>
      <c r="E18" s="146">
        <v>64</v>
      </c>
      <c r="F18" s="146">
        <v>37</v>
      </c>
      <c r="G18" s="146">
        <v>70</v>
      </c>
      <c r="H18" s="146">
        <v>49</v>
      </c>
      <c r="I18" s="146">
        <v>42</v>
      </c>
      <c r="J18" s="146">
        <f t="shared" si="0"/>
        <v>386</v>
      </c>
      <c r="K18" s="195">
        <f t="shared" si="1"/>
        <v>55.14</v>
      </c>
      <c r="L18" s="77">
        <f t="shared" si="2"/>
        <v>2.64</v>
      </c>
      <c r="M18" s="22" t="str">
        <f t="shared" si="3"/>
        <v>C</v>
      </c>
      <c r="N18" s="148">
        <f t="shared" si="4"/>
        <v>6</v>
      </c>
      <c r="O18" s="24">
        <f t="shared" si="5"/>
        <v>6</v>
      </c>
      <c r="P18" s="25">
        <f t="shared" si="6"/>
        <v>55.14</v>
      </c>
    </row>
    <row r="19" spans="1:16" ht="30" customHeight="1">
      <c r="A19" s="196">
        <v>6</v>
      </c>
      <c r="B19" s="138" t="s">
        <v>107</v>
      </c>
      <c r="C19" s="145">
        <v>44</v>
      </c>
      <c r="D19" s="146">
        <v>35</v>
      </c>
      <c r="E19" s="146">
        <v>40</v>
      </c>
      <c r="F19" s="146">
        <v>33</v>
      </c>
      <c r="G19" s="146">
        <v>45</v>
      </c>
      <c r="H19" s="146">
        <v>35</v>
      </c>
      <c r="I19" s="146">
        <v>38</v>
      </c>
      <c r="J19" s="146">
        <f t="shared" si="0"/>
        <v>270</v>
      </c>
      <c r="K19" s="195">
        <f t="shared" si="1"/>
        <v>38.57</v>
      </c>
      <c r="L19" s="77">
        <f t="shared" si="2"/>
        <v>1.43</v>
      </c>
      <c r="M19" s="22" t="str">
        <f t="shared" si="3"/>
        <v>D</v>
      </c>
      <c r="N19" s="148">
        <f t="shared" si="4"/>
        <v>8</v>
      </c>
      <c r="O19" s="24">
        <f t="shared" si="5"/>
        <v>8</v>
      </c>
      <c r="P19" s="25">
        <f t="shared" si="6"/>
        <v>38.57</v>
      </c>
    </row>
    <row r="20" spans="1:16" ht="30" customHeight="1">
      <c r="A20" s="196">
        <v>7</v>
      </c>
      <c r="B20" s="138" t="s">
        <v>108</v>
      </c>
      <c r="C20" s="145">
        <v>93</v>
      </c>
      <c r="D20" s="146">
        <v>93</v>
      </c>
      <c r="E20" s="146">
        <v>66</v>
      </c>
      <c r="F20" s="146">
        <v>56</v>
      </c>
      <c r="G20" s="146">
        <v>88</v>
      </c>
      <c r="H20" s="146">
        <v>46</v>
      </c>
      <c r="I20" s="146">
        <v>35</v>
      </c>
      <c r="J20" s="146">
        <f t="shared" si="0"/>
        <v>477</v>
      </c>
      <c r="K20" s="195">
        <f t="shared" si="1"/>
        <v>68.14</v>
      </c>
      <c r="L20" s="77">
        <f t="shared" si="2"/>
        <v>3.5</v>
      </c>
      <c r="M20" s="22" t="str">
        <f t="shared" si="3"/>
        <v>A-</v>
      </c>
      <c r="N20" s="148" t="str">
        <f t="shared" si="4"/>
        <v>2q</v>
      </c>
      <c r="O20" s="24">
        <f t="shared" si="5"/>
        <v>2</v>
      </c>
      <c r="P20" s="25">
        <f t="shared" si="6"/>
        <v>68.14</v>
      </c>
    </row>
    <row r="21" spans="1:16" ht="30" customHeight="1">
      <c r="A21" s="196">
        <v>8</v>
      </c>
      <c r="B21" s="138" t="s">
        <v>109</v>
      </c>
      <c r="C21" s="145">
        <v>38</v>
      </c>
      <c r="D21" s="146">
        <v>40</v>
      </c>
      <c r="E21" s="146">
        <v>33</v>
      </c>
      <c r="F21" s="146">
        <v>33</v>
      </c>
      <c r="G21" s="146">
        <v>40</v>
      </c>
      <c r="H21" s="146">
        <v>33</v>
      </c>
      <c r="I21" s="146">
        <v>33</v>
      </c>
      <c r="J21" s="146">
        <f t="shared" si="0"/>
        <v>250</v>
      </c>
      <c r="K21" s="195">
        <f t="shared" si="1"/>
        <v>35.71</v>
      </c>
      <c r="L21" s="77">
        <f t="shared" si="2"/>
        <v>1.29</v>
      </c>
      <c r="M21" s="22" t="str">
        <f t="shared" si="3"/>
        <v>D</v>
      </c>
      <c r="N21" s="148">
        <f t="shared" si="4"/>
        <v>9</v>
      </c>
      <c r="O21" s="24">
        <f t="shared" si="5"/>
        <v>9</v>
      </c>
      <c r="P21" s="25">
        <f t="shared" si="6"/>
        <v>35.71</v>
      </c>
    </row>
    <row r="22" spans="1:16" ht="30" customHeight="1">
      <c r="A22" s="196">
        <v>9</v>
      </c>
      <c r="B22" s="138" t="s">
        <v>110</v>
      </c>
      <c r="C22" s="145">
        <v>34</v>
      </c>
      <c r="D22" s="146">
        <v>35</v>
      </c>
      <c r="E22" s="146">
        <v>33</v>
      </c>
      <c r="F22" s="146">
        <v>33</v>
      </c>
      <c r="G22" s="146">
        <v>40</v>
      </c>
      <c r="H22" s="146">
        <v>33</v>
      </c>
      <c r="I22" s="146">
        <v>33</v>
      </c>
      <c r="J22" s="146">
        <f t="shared" si="0"/>
        <v>241</v>
      </c>
      <c r="K22" s="195">
        <f t="shared" si="1"/>
        <v>34.43</v>
      </c>
      <c r="L22" s="77">
        <f t="shared" si="2"/>
        <v>1.1399999999999999</v>
      </c>
      <c r="M22" s="22" t="str">
        <f t="shared" si="3"/>
        <v>D</v>
      </c>
      <c r="N22" s="148">
        <f t="shared" si="4"/>
        <v>10</v>
      </c>
      <c r="O22" s="24">
        <f t="shared" si="5"/>
        <v>10</v>
      </c>
      <c r="P22" s="25">
        <f t="shared" si="6"/>
        <v>34.43</v>
      </c>
    </row>
    <row r="23" spans="1:16" ht="30" customHeight="1">
      <c r="A23" s="196">
        <v>10</v>
      </c>
      <c r="B23" s="138" t="s">
        <v>111</v>
      </c>
      <c r="C23" s="145">
        <v>44</v>
      </c>
      <c r="D23" s="146">
        <v>52</v>
      </c>
      <c r="E23" s="146">
        <v>33</v>
      </c>
      <c r="F23" s="146">
        <v>33</v>
      </c>
      <c r="G23" s="146">
        <v>40</v>
      </c>
      <c r="H23" s="146">
        <v>33</v>
      </c>
      <c r="I23" s="146">
        <v>35</v>
      </c>
      <c r="J23" s="146">
        <f t="shared" si="0"/>
        <v>270</v>
      </c>
      <c r="K23" s="195">
        <f t="shared" si="1"/>
        <v>38.57</v>
      </c>
      <c r="L23" s="77">
        <f t="shared" si="2"/>
        <v>1.57</v>
      </c>
      <c r="M23" s="22" t="str">
        <f t="shared" si="3"/>
        <v>D</v>
      </c>
      <c r="N23" s="148">
        <f t="shared" si="4"/>
        <v>8</v>
      </c>
      <c r="O23" s="24">
        <f t="shared" si="5"/>
        <v>8</v>
      </c>
      <c r="P23" s="25">
        <f t="shared" si="6"/>
        <v>38.57</v>
      </c>
    </row>
    <row r="24" spans="1:16" ht="30" customHeight="1" thickBot="1">
      <c r="A24" s="45">
        <v>11</v>
      </c>
      <c r="B24" s="138" t="s">
        <v>112</v>
      </c>
      <c r="C24" s="27">
        <v>45</v>
      </c>
      <c r="D24" s="28">
        <v>40</v>
      </c>
      <c r="E24" s="28">
        <v>44</v>
      </c>
      <c r="F24" s="28">
        <v>38</v>
      </c>
      <c r="G24" s="28">
        <v>52</v>
      </c>
      <c r="H24" s="28">
        <v>48</v>
      </c>
      <c r="I24" s="28">
        <v>35</v>
      </c>
      <c r="J24" s="28">
        <f t="shared" si="0"/>
        <v>302</v>
      </c>
      <c r="K24" s="76">
        <f t="shared" si="1"/>
        <v>43.14</v>
      </c>
      <c r="L24" s="77">
        <f t="shared" si="2"/>
        <v>1.86</v>
      </c>
      <c r="M24" s="22" t="str">
        <f t="shared" si="3"/>
        <v>D</v>
      </c>
      <c r="N24" s="23">
        <f t="shared" si="4"/>
        <v>7</v>
      </c>
      <c r="O24" s="24">
        <f t="shared" si="5"/>
        <v>7</v>
      </c>
      <c r="P24" s="25">
        <f t="shared" si="6"/>
        <v>43.14</v>
      </c>
    </row>
    <row r="25" spans="1:16" ht="30" customHeight="1">
      <c r="A25" s="78"/>
      <c r="B25" s="79"/>
      <c r="C25" s="80"/>
      <c r="D25" s="80"/>
      <c r="E25" s="80"/>
      <c r="F25" s="80"/>
      <c r="G25" s="80"/>
      <c r="H25" s="80"/>
      <c r="I25" s="80"/>
      <c r="J25" s="80" t="str">
        <f t="shared" si="0"/>
        <v/>
      </c>
      <c r="K25" s="80" t="str">
        <f t="shared" si="1"/>
        <v/>
      </c>
      <c r="L25" s="81" t="str">
        <f t="shared" si="2"/>
        <v/>
      </c>
      <c r="M25" s="82" t="str">
        <f t="shared" si="3"/>
        <v/>
      </c>
      <c r="N25" s="78" t="str">
        <f t="shared" si="4"/>
        <v/>
      </c>
      <c r="O25" s="24" t="str">
        <f t="shared" si="5"/>
        <v/>
      </c>
      <c r="P25" s="25" t="str">
        <f t="shared" si="6"/>
        <v/>
      </c>
    </row>
    <row r="26" spans="1:16" ht="30" customHeight="1">
      <c r="A26" s="78"/>
      <c r="B26" s="79"/>
      <c r="C26" s="80"/>
      <c r="D26" s="80"/>
      <c r="E26" s="80"/>
      <c r="F26" s="80"/>
      <c r="G26" s="80"/>
      <c r="H26" s="80"/>
      <c r="I26" s="80"/>
      <c r="J26" s="80" t="str">
        <f t="shared" si="0"/>
        <v/>
      </c>
      <c r="K26" s="80" t="str">
        <f t="shared" si="1"/>
        <v/>
      </c>
      <c r="L26" s="81" t="str">
        <f t="shared" si="2"/>
        <v/>
      </c>
      <c r="M26" s="82" t="str">
        <f t="shared" si="3"/>
        <v/>
      </c>
      <c r="N26" s="78" t="str">
        <f t="shared" si="4"/>
        <v/>
      </c>
      <c r="O26" s="24" t="str">
        <f t="shared" si="5"/>
        <v/>
      </c>
      <c r="P26" s="25" t="str">
        <f t="shared" si="6"/>
        <v/>
      </c>
    </row>
    <row r="27" spans="1:16" ht="30" customHeight="1">
      <c r="A27" s="78"/>
      <c r="B27" s="79"/>
      <c r="C27" s="80"/>
      <c r="D27" s="80"/>
      <c r="E27" s="80"/>
      <c r="F27" s="80"/>
      <c r="G27" s="80"/>
      <c r="H27" s="80"/>
      <c r="I27" s="80"/>
      <c r="J27" s="80" t="str">
        <f t="shared" si="0"/>
        <v/>
      </c>
      <c r="K27" s="80" t="str">
        <f t="shared" si="1"/>
        <v/>
      </c>
      <c r="L27" s="81" t="str">
        <f t="shared" si="2"/>
        <v/>
      </c>
      <c r="M27" s="82" t="str">
        <f t="shared" si="3"/>
        <v/>
      </c>
      <c r="N27" s="78" t="str">
        <f t="shared" si="4"/>
        <v/>
      </c>
      <c r="O27" s="24" t="str">
        <f t="shared" si="5"/>
        <v/>
      </c>
      <c r="P27" s="25" t="str">
        <f t="shared" si="6"/>
        <v/>
      </c>
    </row>
    <row r="28" spans="1:16" ht="30" customHeight="1">
      <c r="A28" s="78"/>
      <c r="B28" s="79"/>
      <c r="C28" s="80"/>
      <c r="D28" s="80"/>
      <c r="E28" s="80"/>
      <c r="F28" s="80"/>
      <c r="G28" s="80"/>
      <c r="H28" s="80"/>
      <c r="I28" s="80"/>
      <c r="J28" s="80" t="str">
        <f t="shared" si="0"/>
        <v/>
      </c>
      <c r="K28" s="80" t="str">
        <f t="shared" si="1"/>
        <v/>
      </c>
      <c r="L28" s="81" t="str">
        <f t="shared" si="2"/>
        <v/>
      </c>
      <c r="M28" s="82" t="str">
        <f t="shared" si="3"/>
        <v/>
      </c>
      <c r="N28" s="78" t="str">
        <f t="shared" si="4"/>
        <v/>
      </c>
      <c r="O28" s="24" t="str">
        <f t="shared" si="5"/>
        <v/>
      </c>
      <c r="P28" s="25" t="str">
        <f t="shared" si="6"/>
        <v/>
      </c>
    </row>
    <row r="29" spans="1:16" ht="30" customHeight="1">
      <c r="A29" s="78"/>
      <c r="B29" s="79"/>
      <c r="C29" s="80"/>
      <c r="D29" s="80"/>
      <c r="E29" s="80"/>
      <c r="F29" s="80"/>
      <c r="G29" s="80"/>
      <c r="H29" s="80"/>
      <c r="I29" s="80"/>
      <c r="J29" s="80" t="str">
        <f t="shared" si="0"/>
        <v/>
      </c>
      <c r="K29" s="80" t="str">
        <f t="shared" si="1"/>
        <v/>
      </c>
      <c r="L29" s="81" t="str">
        <f t="shared" si="2"/>
        <v/>
      </c>
      <c r="M29" s="82" t="str">
        <f t="shared" si="3"/>
        <v/>
      </c>
      <c r="N29" s="78" t="str">
        <f t="shared" si="4"/>
        <v/>
      </c>
      <c r="O29" s="24" t="str">
        <f t="shared" si="5"/>
        <v/>
      </c>
      <c r="P29" s="25" t="str">
        <f t="shared" si="6"/>
        <v/>
      </c>
    </row>
    <row r="30" spans="1:16" ht="30" customHeight="1">
      <c r="A30" s="78"/>
      <c r="B30" s="79"/>
      <c r="C30" s="80"/>
      <c r="D30" s="80"/>
      <c r="E30" s="80"/>
      <c r="F30" s="80"/>
      <c r="G30" s="80"/>
      <c r="H30" s="80"/>
      <c r="I30" s="80"/>
      <c r="J30" s="80" t="str">
        <f t="shared" si="0"/>
        <v/>
      </c>
      <c r="K30" s="80" t="str">
        <f t="shared" si="1"/>
        <v/>
      </c>
      <c r="L30" s="81" t="str">
        <f t="shared" si="2"/>
        <v/>
      </c>
      <c r="M30" s="82" t="str">
        <f t="shared" si="3"/>
        <v/>
      </c>
      <c r="N30" s="78" t="str">
        <f t="shared" si="4"/>
        <v/>
      </c>
      <c r="O30" s="24" t="str">
        <f t="shared" si="5"/>
        <v/>
      </c>
      <c r="P30" s="25" t="str">
        <f t="shared" si="6"/>
        <v/>
      </c>
    </row>
    <row r="31" spans="1:16" ht="30" customHeight="1">
      <c r="A31" s="78"/>
      <c r="B31" s="79"/>
      <c r="C31" s="80"/>
      <c r="D31" s="80"/>
      <c r="E31" s="80"/>
      <c r="F31" s="80"/>
      <c r="G31" s="80"/>
      <c r="H31" s="80"/>
      <c r="I31" s="80"/>
      <c r="J31" s="80" t="str">
        <f t="shared" si="0"/>
        <v/>
      </c>
      <c r="K31" s="80" t="str">
        <f t="shared" si="1"/>
        <v/>
      </c>
      <c r="L31" s="81" t="str">
        <f t="shared" si="2"/>
        <v/>
      </c>
      <c r="M31" s="82" t="str">
        <f t="shared" si="3"/>
        <v/>
      </c>
      <c r="N31" s="78" t="str">
        <f t="shared" si="4"/>
        <v/>
      </c>
      <c r="O31" s="24" t="str">
        <f t="shared" si="5"/>
        <v/>
      </c>
      <c r="P31" s="25" t="str">
        <f t="shared" si="6"/>
        <v/>
      </c>
    </row>
    <row r="32" spans="1:16" ht="30" customHeight="1">
      <c r="A32" s="78"/>
      <c r="B32" s="79"/>
      <c r="C32" s="80"/>
      <c r="D32" s="80"/>
      <c r="E32" s="80"/>
      <c r="F32" s="80"/>
      <c r="G32" s="80"/>
      <c r="H32" s="80"/>
      <c r="I32" s="80"/>
      <c r="J32" s="80" t="str">
        <f t="shared" si="0"/>
        <v/>
      </c>
      <c r="K32" s="80" t="str">
        <f t="shared" si="1"/>
        <v/>
      </c>
      <c r="L32" s="81" t="str">
        <f t="shared" si="2"/>
        <v/>
      </c>
      <c r="M32" s="82" t="str">
        <f t="shared" si="3"/>
        <v/>
      </c>
      <c r="N32" s="78" t="str">
        <f t="shared" si="4"/>
        <v/>
      </c>
      <c r="O32" s="24" t="str">
        <f t="shared" si="5"/>
        <v/>
      </c>
      <c r="P32" s="25" t="str">
        <f t="shared" si="6"/>
        <v/>
      </c>
    </row>
    <row r="33" spans="1:16" ht="30" customHeight="1">
      <c r="A33" s="78"/>
      <c r="B33" s="79"/>
      <c r="C33" s="80"/>
      <c r="D33" s="80"/>
      <c r="E33" s="80"/>
      <c r="F33" s="80"/>
      <c r="G33" s="80"/>
      <c r="H33" s="80"/>
      <c r="I33" s="80"/>
      <c r="J33" s="80" t="str">
        <f t="shared" si="0"/>
        <v/>
      </c>
      <c r="K33" s="80" t="str">
        <f t="shared" si="1"/>
        <v/>
      </c>
      <c r="L33" s="81" t="str">
        <f t="shared" si="2"/>
        <v/>
      </c>
      <c r="M33" s="82" t="str">
        <f t="shared" si="3"/>
        <v/>
      </c>
      <c r="N33" s="78" t="str">
        <f t="shared" si="4"/>
        <v/>
      </c>
      <c r="O33" s="24" t="str">
        <f t="shared" si="5"/>
        <v/>
      </c>
      <c r="P33" s="25" t="str">
        <f t="shared" si="6"/>
        <v/>
      </c>
    </row>
    <row r="34" spans="1:16" ht="30" customHeight="1">
      <c r="A34" s="78"/>
      <c r="B34" s="79"/>
      <c r="C34" s="80"/>
      <c r="D34" s="80"/>
      <c r="E34" s="80"/>
      <c r="F34" s="80"/>
      <c r="G34" s="80"/>
      <c r="H34" s="80"/>
      <c r="I34" s="80"/>
      <c r="J34" s="80" t="str">
        <f t="shared" si="0"/>
        <v/>
      </c>
      <c r="K34" s="80" t="str">
        <f t="shared" si="1"/>
        <v/>
      </c>
      <c r="L34" s="81" t="str">
        <f t="shared" si="2"/>
        <v/>
      </c>
      <c r="M34" s="82" t="str">
        <f t="shared" si="3"/>
        <v/>
      </c>
      <c r="N34" s="78" t="str">
        <f t="shared" si="4"/>
        <v/>
      </c>
      <c r="O34" s="24" t="str">
        <f t="shared" si="5"/>
        <v/>
      </c>
      <c r="P34" s="25" t="str">
        <f t="shared" si="6"/>
        <v/>
      </c>
    </row>
    <row r="35" spans="1:16" ht="30" customHeight="1">
      <c r="A35" s="78"/>
      <c r="B35" s="79"/>
      <c r="C35" s="80"/>
      <c r="D35" s="80"/>
      <c r="E35" s="80"/>
      <c r="F35" s="80"/>
      <c r="G35" s="80"/>
      <c r="H35" s="80"/>
      <c r="I35" s="80"/>
      <c r="J35" s="80" t="str">
        <f t="shared" si="0"/>
        <v/>
      </c>
      <c r="K35" s="80" t="str">
        <f t="shared" si="1"/>
        <v/>
      </c>
      <c r="L35" s="81" t="str">
        <f t="shared" si="2"/>
        <v/>
      </c>
      <c r="M35" s="82" t="str">
        <f t="shared" si="3"/>
        <v/>
      </c>
      <c r="N35" s="78" t="str">
        <f t="shared" si="4"/>
        <v/>
      </c>
      <c r="O35" s="24" t="str">
        <f t="shared" si="5"/>
        <v/>
      </c>
      <c r="P35" s="25" t="str">
        <f t="shared" si="6"/>
        <v/>
      </c>
    </row>
    <row r="36" spans="1:16" ht="30" customHeight="1">
      <c r="A36" s="78"/>
      <c r="B36" s="79"/>
      <c r="C36" s="80"/>
      <c r="D36" s="80"/>
      <c r="E36" s="80"/>
      <c r="F36" s="80"/>
      <c r="G36" s="80"/>
      <c r="H36" s="80"/>
      <c r="I36" s="80"/>
      <c r="J36" s="80" t="str">
        <f t="shared" si="0"/>
        <v/>
      </c>
      <c r="K36" s="80" t="str">
        <f t="shared" si="1"/>
        <v/>
      </c>
      <c r="L36" s="81" t="str">
        <f t="shared" si="2"/>
        <v/>
      </c>
      <c r="M36" s="82" t="str">
        <f t="shared" si="3"/>
        <v/>
      </c>
      <c r="N36" s="78" t="str">
        <f t="shared" si="4"/>
        <v/>
      </c>
      <c r="O36" s="24" t="str">
        <f t="shared" si="5"/>
        <v/>
      </c>
      <c r="P36" s="25" t="str">
        <f t="shared" si="6"/>
        <v/>
      </c>
    </row>
    <row r="37" spans="1:16" ht="30" customHeight="1">
      <c r="A37" s="78"/>
      <c r="B37" s="79"/>
      <c r="C37" s="80"/>
      <c r="D37" s="80"/>
      <c r="E37" s="80"/>
      <c r="F37" s="80"/>
      <c r="G37" s="80"/>
      <c r="H37" s="80"/>
      <c r="I37" s="80"/>
      <c r="J37" s="80" t="str">
        <f t="shared" si="0"/>
        <v/>
      </c>
      <c r="K37" s="80" t="str">
        <f t="shared" si="1"/>
        <v/>
      </c>
      <c r="L37" s="81" t="str">
        <f t="shared" si="2"/>
        <v/>
      </c>
      <c r="M37" s="82" t="str">
        <f t="shared" si="3"/>
        <v/>
      </c>
      <c r="N37" s="78" t="str">
        <f t="shared" si="4"/>
        <v/>
      </c>
      <c r="O37" s="24" t="str">
        <f t="shared" si="5"/>
        <v/>
      </c>
      <c r="P37" s="25" t="str">
        <f t="shared" si="6"/>
        <v/>
      </c>
    </row>
    <row r="38" spans="1:16" s="26" customFormat="1" ht="21.75" customHeight="1">
      <c r="A38" s="29"/>
      <c r="B38" s="30"/>
      <c r="C38" s="31"/>
      <c r="D38" s="31"/>
      <c r="E38" s="31"/>
      <c r="F38" s="31"/>
      <c r="G38" s="31"/>
      <c r="H38" s="31"/>
      <c r="I38" s="31"/>
      <c r="J38" s="31" t="str">
        <f t="shared" si="0"/>
        <v/>
      </c>
      <c r="K38" s="32" t="str">
        <f t="shared" si="1"/>
        <v/>
      </c>
      <c r="L38" s="32" t="str">
        <f t="shared" si="2"/>
        <v/>
      </c>
      <c r="M38" s="29" t="str">
        <f t="shared" si="3"/>
        <v/>
      </c>
      <c r="N38" s="33" t="str">
        <f t="shared" si="4"/>
        <v/>
      </c>
      <c r="O38" s="34" t="str">
        <f t="shared" si="5"/>
        <v/>
      </c>
      <c r="P38" s="35" t="str">
        <f t="shared" si="6"/>
        <v/>
      </c>
    </row>
    <row r="39" spans="1:16" s="26" customFormat="1" ht="21.75" customHeight="1">
      <c r="A39" s="33"/>
      <c r="B39" s="36"/>
      <c r="C39" s="37"/>
      <c r="D39" s="37"/>
      <c r="E39" s="37"/>
      <c r="F39" s="37"/>
      <c r="G39" s="37"/>
      <c r="H39" s="37"/>
      <c r="I39" s="37"/>
      <c r="J39" s="37" t="str">
        <f t="shared" si="0"/>
        <v/>
      </c>
      <c r="K39" s="38" t="str">
        <f t="shared" si="1"/>
        <v/>
      </c>
      <c r="L39" s="38" t="str">
        <f t="shared" si="2"/>
        <v/>
      </c>
      <c r="M39" s="33" t="str">
        <f t="shared" si="3"/>
        <v/>
      </c>
      <c r="N39" s="33" t="str">
        <f t="shared" si="4"/>
        <v/>
      </c>
      <c r="O39" s="34" t="str">
        <f t="shared" si="5"/>
        <v/>
      </c>
      <c r="P39" s="35" t="str">
        <f t="shared" si="6"/>
        <v/>
      </c>
    </row>
    <row r="40" spans="1:16" s="26" customFormat="1" ht="21.75" customHeight="1">
      <c r="A40" s="33"/>
      <c r="B40" s="36"/>
      <c r="C40" s="37"/>
      <c r="D40" s="37"/>
      <c r="E40" s="37"/>
      <c r="F40" s="37"/>
      <c r="G40" s="37"/>
      <c r="H40" s="37"/>
      <c r="I40" s="37"/>
      <c r="J40" s="37" t="str">
        <f t="shared" si="0"/>
        <v/>
      </c>
      <c r="K40" s="38" t="str">
        <f t="shared" si="1"/>
        <v/>
      </c>
      <c r="L40" s="38" t="str">
        <f t="shared" si="2"/>
        <v/>
      </c>
      <c r="M40" s="33" t="str">
        <f t="shared" si="3"/>
        <v/>
      </c>
      <c r="N40" s="33" t="str">
        <f t="shared" si="4"/>
        <v/>
      </c>
      <c r="O40" s="34" t="str">
        <f t="shared" si="5"/>
        <v/>
      </c>
      <c r="P40" s="35" t="str">
        <f t="shared" si="6"/>
        <v/>
      </c>
    </row>
    <row r="41" spans="1:16" s="26" customFormat="1" ht="21.75" customHeight="1">
      <c r="A41" s="33"/>
      <c r="B41" s="36"/>
      <c r="C41" s="37"/>
      <c r="D41" s="37"/>
      <c r="E41" s="37"/>
      <c r="F41" s="37"/>
      <c r="G41" s="37"/>
      <c r="H41" s="37"/>
      <c r="I41" s="37"/>
      <c r="J41" s="37" t="str">
        <f t="shared" si="0"/>
        <v/>
      </c>
      <c r="K41" s="38" t="str">
        <f t="shared" si="1"/>
        <v/>
      </c>
      <c r="L41" s="38" t="str">
        <f t="shared" si="2"/>
        <v/>
      </c>
      <c r="M41" s="33" t="str">
        <f t="shared" si="3"/>
        <v/>
      </c>
      <c r="N41" s="33" t="str">
        <f t="shared" si="4"/>
        <v/>
      </c>
      <c r="O41" s="34" t="str">
        <f t="shared" si="5"/>
        <v/>
      </c>
      <c r="P41" s="35" t="str">
        <f t="shared" si="6"/>
        <v/>
      </c>
    </row>
    <row r="42" spans="1:16" s="26" customFormat="1" ht="21.75" customHeight="1">
      <c r="A42" s="33"/>
      <c r="B42" s="36"/>
      <c r="C42" s="37"/>
      <c r="D42" s="37"/>
      <c r="E42" s="37"/>
      <c r="F42" s="37"/>
      <c r="G42" s="37"/>
      <c r="H42" s="37"/>
      <c r="I42" s="37"/>
      <c r="J42" s="37" t="str">
        <f t="shared" si="0"/>
        <v/>
      </c>
      <c r="K42" s="38" t="str">
        <f t="shared" si="1"/>
        <v/>
      </c>
      <c r="L42" s="38" t="str">
        <f t="shared" si="2"/>
        <v/>
      </c>
      <c r="M42" s="33" t="str">
        <f t="shared" si="3"/>
        <v/>
      </c>
      <c r="N42" s="33" t="str">
        <f t="shared" si="4"/>
        <v/>
      </c>
      <c r="O42" s="34" t="str">
        <f t="shared" si="5"/>
        <v/>
      </c>
      <c r="P42" s="35" t="str">
        <f t="shared" si="6"/>
        <v/>
      </c>
    </row>
    <row r="43" spans="1:16" s="26" customFormat="1" ht="21.75" customHeight="1">
      <c r="A43" s="33"/>
      <c r="B43" s="36"/>
      <c r="C43" s="37"/>
      <c r="D43" s="37"/>
      <c r="E43" s="37"/>
      <c r="F43" s="37"/>
      <c r="G43" s="37"/>
      <c r="H43" s="37"/>
      <c r="I43" s="37"/>
      <c r="J43" s="37" t="str">
        <f t="shared" si="0"/>
        <v/>
      </c>
      <c r="K43" s="38" t="str">
        <f t="shared" si="1"/>
        <v/>
      </c>
      <c r="L43" s="38" t="str">
        <f t="shared" si="2"/>
        <v/>
      </c>
      <c r="M43" s="33" t="str">
        <f t="shared" si="3"/>
        <v/>
      </c>
      <c r="N43" s="33" t="str">
        <f t="shared" si="4"/>
        <v/>
      </c>
      <c r="O43" s="34" t="str">
        <f t="shared" si="5"/>
        <v/>
      </c>
      <c r="P43" s="35" t="str">
        <f t="shared" si="6"/>
        <v/>
      </c>
    </row>
    <row r="44" spans="1:16" s="26" customFormat="1" ht="21.75" customHeight="1">
      <c r="A44" s="33"/>
      <c r="B44" s="36"/>
      <c r="C44" s="37"/>
      <c r="D44" s="37"/>
      <c r="E44" s="37"/>
      <c r="F44" s="37"/>
      <c r="G44" s="37"/>
      <c r="H44" s="37"/>
      <c r="I44" s="37"/>
      <c r="J44" s="37" t="str">
        <f t="shared" si="0"/>
        <v/>
      </c>
      <c r="K44" s="38" t="str">
        <f t="shared" si="1"/>
        <v/>
      </c>
      <c r="L44" s="38" t="str">
        <f t="shared" si="2"/>
        <v/>
      </c>
      <c r="M44" s="33" t="str">
        <f t="shared" si="3"/>
        <v/>
      </c>
      <c r="N44" s="33" t="str">
        <f t="shared" si="4"/>
        <v/>
      </c>
      <c r="O44" s="34" t="str">
        <f t="shared" si="5"/>
        <v/>
      </c>
      <c r="P44" s="35" t="str">
        <f t="shared" si="6"/>
        <v/>
      </c>
    </row>
    <row r="45" spans="1:16" s="26" customFormat="1" ht="21.75" customHeight="1">
      <c r="A45" s="33"/>
      <c r="B45" s="36"/>
      <c r="C45" s="37"/>
      <c r="D45" s="37"/>
      <c r="E45" s="37"/>
      <c r="F45" s="37"/>
      <c r="G45" s="37"/>
      <c r="H45" s="37"/>
      <c r="I45" s="37"/>
      <c r="J45" s="37" t="str">
        <f t="shared" si="0"/>
        <v/>
      </c>
      <c r="K45" s="38" t="str">
        <f t="shared" si="1"/>
        <v/>
      </c>
      <c r="L45" s="38" t="str">
        <f t="shared" si="2"/>
        <v/>
      </c>
      <c r="M45" s="33" t="str">
        <f t="shared" si="3"/>
        <v/>
      </c>
      <c r="N45" s="33" t="str">
        <f t="shared" si="4"/>
        <v/>
      </c>
      <c r="O45" s="34" t="str">
        <f t="shared" si="5"/>
        <v/>
      </c>
      <c r="P45" s="35" t="str">
        <f t="shared" si="6"/>
        <v/>
      </c>
    </row>
    <row r="46" spans="1:16" s="26" customFormat="1" ht="21.75" customHeight="1">
      <c r="A46" s="33"/>
      <c r="B46" s="36"/>
      <c r="C46" s="37"/>
      <c r="D46" s="37"/>
      <c r="E46" s="37"/>
      <c r="F46" s="37"/>
      <c r="G46" s="37"/>
      <c r="H46" s="37"/>
      <c r="I46" s="37"/>
      <c r="J46" s="37" t="str">
        <f t="shared" ref="J46:J63" si="7">IF($B46="","",IF(COUNT(C46:I46)=0,"",SUM(C46:I46)))</f>
        <v/>
      </c>
      <c r="K46" s="38" t="str">
        <f t="shared" ref="K46:K63" si="8">IF($B46="","",IF(COUNT(C46:I46)=0,"",ROUND(SUM(C46:I46)/COLUMNS(C46:I46),2)))</f>
        <v/>
      </c>
      <c r="L46" s="38" t="str">
        <f t="shared" ref="L46:L63" si="9">IF($B46="","",IF(COUNT(C46:I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)/COLUMNS(C46:I46),2)))</f>
        <v/>
      </c>
      <c r="M46" s="33" t="str">
        <f t="shared" ref="M46:M63" si="10">IF($B46="","",IF(L46="","",IF(L46=0,"Fail",IF(L46=5,"A+",IF(L46&gt;=4,"A",IF(L46&gt;=3.5,"A-",IF(L46&gt;=3,"B",IF(L46&gt;=2,"C",IF(L46&gt;=1,"D","F")))))))))</f>
        <v/>
      </c>
      <c r="N46" s="33" t="str">
        <f t="shared" ref="N46:N63" si="11">IF($B46="","",IF($O46="","",IF($O46=1,"1g",IF($O46=2,"2q",IF($O46=3,"3q",$O46)))))</f>
        <v/>
      </c>
      <c r="O46" s="34" t="str">
        <f t="shared" ref="O46:O63" si="12">IF($B46="","",IF(OR($M46="ফেল",$M46="অনুপস্থিত",$M46="অসম্পূর্ণ"),"",1+SUMPRODUCT(($P$14:$P$63&lt;&gt;"")*($P$14:$P$63&gt;P46)/COUNTIF($P$14:$P$63,$P$14:$P$63))))</f>
        <v/>
      </c>
      <c r="P46" s="35" t="str">
        <f t="shared" ref="P46:P63" si="13">IF($B46="","",K46)</f>
        <v/>
      </c>
    </row>
    <row r="47" spans="1:16" s="26" customFormat="1" ht="21.75" customHeight="1">
      <c r="A47" s="33">
        <v>34</v>
      </c>
      <c r="B47" s="36"/>
      <c r="C47" s="37"/>
      <c r="D47" s="37"/>
      <c r="E47" s="37"/>
      <c r="F47" s="37"/>
      <c r="G47" s="37"/>
      <c r="H47" s="37"/>
      <c r="I47" s="37"/>
      <c r="J47" s="37" t="str">
        <f t="shared" si="7"/>
        <v/>
      </c>
      <c r="K47" s="38" t="str">
        <f t="shared" si="8"/>
        <v/>
      </c>
      <c r="L47" s="38" t="str">
        <f t="shared" si="9"/>
        <v/>
      </c>
      <c r="M47" s="33" t="str">
        <f t="shared" si="10"/>
        <v/>
      </c>
      <c r="N47" s="33" t="str">
        <f t="shared" si="11"/>
        <v/>
      </c>
      <c r="O47" s="34" t="str">
        <f t="shared" si="12"/>
        <v/>
      </c>
      <c r="P47" s="35" t="str">
        <f t="shared" si="13"/>
        <v/>
      </c>
    </row>
    <row r="48" spans="1:16" s="26" customFormat="1" ht="21.75" customHeight="1">
      <c r="A48" s="33">
        <v>35</v>
      </c>
      <c r="B48" s="36"/>
      <c r="C48" s="37"/>
      <c r="D48" s="37"/>
      <c r="E48" s="37"/>
      <c r="F48" s="37"/>
      <c r="G48" s="37"/>
      <c r="H48" s="37"/>
      <c r="I48" s="37"/>
      <c r="J48" s="37" t="str">
        <f t="shared" si="7"/>
        <v/>
      </c>
      <c r="K48" s="38" t="str">
        <f t="shared" si="8"/>
        <v/>
      </c>
      <c r="L48" s="38" t="str">
        <f t="shared" si="9"/>
        <v/>
      </c>
      <c r="M48" s="33" t="str">
        <f t="shared" si="10"/>
        <v/>
      </c>
      <c r="N48" s="33" t="str">
        <f t="shared" si="11"/>
        <v/>
      </c>
      <c r="O48" s="34" t="str">
        <f t="shared" si="12"/>
        <v/>
      </c>
      <c r="P48" s="35" t="str">
        <f t="shared" si="13"/>
        <v/>
      </c>
    </row>
    <row r="49" spans="1:16" s="26" customFormat="1" ht="21.75" customHeight="1">
      <c r="A49" s="33">
        <v>36</v>
      </c>
      <c r="B49" s="36"/>
      <c r="C49" s="37"/>
      <c r="D49" s="37"/>
      <c r="E49" s="37"/>
      <c r="F49" s="37"/>
      <c r="G49" s="37"/>
      <c r="H49" s="37"/>
      <c r="I49" s="37"/>
      <c r="J49" s="37" t="str">
        <f t="shared" si="7"/>
        <v/>
      </c>
      <c r="K49" s="38" t="str">
        <f t="shared" si="8"/>
        <v/>
      </c>
      <c r="L49" s="38" t="str">
        <f t="shared" si="9"/>
        <v/>
      </c>
      <c r="M49" s="33" t="str">
        <f t="shared" si="10"/>
        <v/>
      </c>
      <c r="N49" s="33" t="str">
        <f t="shared" si="11"/>
        <v/>
      </c>
      <c r="O49" s="34" t="str">
        <f t="shared" si="12"/>
        <v/>
      </c>
      <c r="P49" s="35" t="str">
        <f t="shared" si="13"/>
        <v/>
      </c>
    </row>
    <row r="50" spans="1:16" s="26" customFormat="1" ht="21.75" customHeight="1">
      <c r="A50" s="33">
        <v>37</v>
      </c>
      <c r="B50" s="36"/>
      <c r="C50" s="37"/>
      <c r="D50" s="37"/>
      <c r="E50" s="37"/>
      <c r="F50" s="37"/>
      <c r="G50" s="37"/>
      <c r="H50" s="37"/>
      <c r="I50" s="37"/>
      <c r="J50" s="37" t="str">
        <f t="shared" si="7"/>
        <v/>
      </c>
      <c r="K50" s="38" t="str">
        <f t="shared" si="8"/>
        <v/>
      </c>
      <c r="L50" s="38" t="str">
        <f t="shared" si="9"/>
        <v/>
      </c>
      <c r="M50" s="33" t="str">
        <f t="shared" si="10"/>
        <v/>
      </c>
      <c r="N50" s="33" t="str">
        <f t="shared" si="11"/>
        <v/>
      </c>
      <c r="O50" s="34" t="str">
        <f t="shared" si="12"/>
        <v/>
      </c>
      <c r="P50" s="35" t="str">
        <f t="shared" si="13"/>
        <v/>
      </c>
    </row>
    <row r="51" spans="1:16" s="26" customFormat="1" ht="21.75" customHeight="1">
      <c r="A51" s="33">
        <v>38</v>
      </c>
      <c r="B51" s="36"/>
      <c r="C51" s="37"/>
      <c r="D51" s="37"/>
      <c r="E51" s="37"/>
      <c r="F51" s="37"/>
      <c r="G51" s="37"/>
      <c r="H51" s="37"/>
      <c r="I51" s="37"/>
      <c r="J51" s="37" t="str">
        <f t="shared" si="7"/>
        <v/>
      </c>
      <c r="K51" s="38" t="str">
        <f t="shared" si="8"/>
        <v/>
      </c>
      <c r="L51" s="38" t="str">
        <f t="shared" si="9"/>
        <v/>
      </c>
      <c r="M51" s="33" t="str">
        <f t="shared" si="10"/>
        <v/>
      </c>
      <c r="N51" s="33" t="str">
        <f t="shared" si="11"/>
        <v/>
      </c>
      <c r="O51" s="34" t="str">
        <f t="shared" si="12"/>
        <v/>
      </c>
      <c r="P51" s="35" t="str">
        <f t="shared" si="13"/>
        <v/>
      </c>
    </row>
    <row r="52" spans="1:16" s="26" customFormat="1" ht="21.75" customHeight="1">
      <c r="A52" s="33">
        <v>39</v>
      </c>
      <c r="B52" s="36"/>
      <c r="C52" s="37"/>
      <c r="D52" s="37"/>
      <c r="E52" s="37"/>
      <c r="F52" s="37"/>
      <c r="G52" s="37"/>
      <c r="H52" s="37"/>
      <c r="I52" s="37"/>
      <c r="J52" s="37" t="str">
        <f t="shared" si="7"/>
        <v/>
      </c>
      <c r="K52" s="38" t="str">
        <f t="shared" si="8"/>
        <v/>
      </c>
      <c r="L52" s="38" t="str">
        <f t="shared" si="9"/>
        <v/>
      </c>
      <c r="M52" s="33" t="str">
        <f t="shared" si="10"/>
        <v/>
      </c>
      <c r="N52" s="33" t="str">
        <f t="shared" si="11"/>
        <v/>
      </c>
      <c r="O52" s="34" t="str">
        <f t="shared" si="12"/>
        <v/>
      </c>
      <c r="P52" s="35" t="str">
        <f t="shared" si="13"/>
        <v/>
      </c>
    </row>
    <row r="53" spans="1:16" s="26" customFormat="1" ht="21.75" customHeight="1">
      <c r="A53" s="33">
        <v>40</v>
      </c>
      <c r="B53" s="36"/>
      <c r="C53" s="37"/>
      <c r="D53" s="37"/>
      <c r="E53" s="37"/>
      <c r="F53" s="37"/>
      <c r="G53" s="37"/>
      <c r="H53" s="37"/>
      <c r="I53" s="37"/>
      <c r="J53" s="37" t="str">
        <f t="shared" si="7"/>
        <v/>
      </c>
      <c r="K53" s="38" t="str">
        <f t="shared" si="8"/>
        <v/>
      </c>
      <c r="L53" s="38" t="str">
        <f t="shared" si="9"/>
        <v/>
      </c>
      <c r="M53" s="33" t="str">
        <f t="shared" si="10"/>
        <v/>
      </c>
      <c r="N53" s="33" t="str">
        <f t="shared" si="11"/>
        <v/>
      </c>
      <c r="O53" s="34" t="str">
        <f t="shared" si="12"/>
        <v/>
      </c>
      <c r="P53" s="35" t="str">
        <f t="shared" si="13"/>
        <v/>
      </c>
    </row>
    <row r="54" spans="1:16" s="26" customFormat="1" ht="21.75" customHeight="1">
      <c r="A54" s="33">
        <v>41</v>
      </c>
      <c r="B54" s="36"/>
      <c r="C54" s="37"/>
      <c r="D54" s="37"/>
      <c r="E54" s="37"/>
      <c r="F54" s="37"/>
      <c r="G54" s="37"/>
      <c r="H54" s="37"/>
      <c r="I54" s="37"/>
      <c r="J54" s="37" t="str">
        <f t="shared" si="7"/>
        <v/>
      </c>
      <c r="K54" s="38" t="str">
        <f t="shared" si="8"/>
        <v/>
      </c>
      <c r="L54" s="38" t="str">
        <f t="shared" si="9"/>
        <v/>
      </c>
      <c r="M54" s="33" t="str">
        <f t="shared" si="10"/>
        <v/>
      </c>
      <c r="N54" s="33" t="str">
        <f t="shared" si="11"/>
        <v/>
      </c>
      <c r="O54" s="34" t="str">
        <f t="shared" si="12"/>
        <v/>
      </c>
      <c r="P54" s="35" t="str">
        <f t="shared" si="13"/>
        <v/>
      </c>
    </row>
    <row r="55" spans="1:16" s="26" customFormat="1" ht="21.75" customHeight="1">
      <c r="A55" s="33">
        <v>42</v>
      </c>
      <c r="B55" s="36"/>
      <c r="C55" s="37"/>
      <c r="D55" s="37"/>
      <c r="E55" s="37"/>
      <c r="F55" s="37"/>
      <c r="G55" s="37"/>
      <c r="H55" s="37"/>
      <c r="I55" s="37"/>
      <c r="J55" s="37" t="str">
        <f t="shared" si="7"/>
        <v/>
      </c>
      <c r="K55" s="38" t="str">
        <f t="shared" si="8"/>
        <v/>
      </c>
      <c r="L55" s="38" t="str">
        <f t="shared" si="9"/>
        <v/>
      </c>
      <c r="M55" s="33" t="str">
        <f t="shared" si="10"/>
        <v/>
      </c>
      <c r="N55" s="33" t="str">
        <f t="shared" si="11"/>
        <v/>
      </c>
      <c r="O55" s="34" t="str">
        <f t="shared" si="12"/>
        <v/>
      </c>
      <c r="P55" s="35" t="str">
        <f t="shared" si="13"/>
        <v/>
      </c>
    </row>
    <row r="56" spans="1:16" s="26" customFormat="1" ht="21.75" customHeight="1">
      <c r="A56" s="33">
        <v>43</v>
      </c>
      <c r="B56" s="36"/>
      <c r="C56" s="37"/>
      <c r="D56" s="37"/>
      <c r="E56" s="37"/>
      <c r="F56" s="37"/>
      <c r="G56" s="37"/>
      <c r="H56" s="37"/>
      <c r="I56" s="37"/>
      <c r="J56" s="37" t="str">
        <f t="shared" si="7"/>
        <v/>
      </c>
      <c r="K56" s="38" t="str">
        <f t="shared" si="8"/>
        <v/>
      </c>
      <c r="L56" s="38" t="str">
        <f t="shared" si="9"/>
        <v/>
      </c>
      <c r="M56" s="33" t="str">
        <f t="shared" si="10"/>
        <v/>
      </c>
      <c r="N56" s="33" t="str">
        <f t="shared" si="11"/>
        <v/>
      </c>
      <c r="O56" s="34" t="str">
        <f t="shared" si="12"/>
        <v/>
      </c>
      <c r="P56" s="35" t="str">
        <f t="shared" si="13"/>
        <v/>
      </c>
    </row>
    <row r="57" spans="1:16" s="26" customFormat="1" ht="21.75" customHeight="1">
      <c r="A57" s="33">
        <v>44</v>
      </c>
      <c r="B57" s="36"/>
      <c r="C57" s="37"/>
      <c r="D57" s="37"/>
      <c r="E57" s="37"/>
      <c r="F57" s="37"/>
      <c r="G57" s="37"/>
      <c r="H57" s="37"/>
      <c r="I57" s="37"/>
      <c r="J57" s="37" t="str">
        <f t="shared" si="7"/>
        <v/>
      </c>
      <c r="K57" s="38" t="str">
        <f t="shared" si="8"/>
        <v/>
      </c>
      <c r="L57" s="38" t="str">
        <f t="shared" si="9"/>
        <v/>
      </c>
      <c r="M57" s="33" t="str">
        <f t="shared" si="10"/>
        <v/>
      </c>
      <c r="N57" s="33" t="str">
        <f t="shared" si="11"/>
        <v/>
      </c>
      <c r="O57" s="34" t="str">
        <f t="shared" si="12"/>
        <v/>
      </c>
      <c r="P57" s="35" t="str">
        <f t="shared" si="13"/>
        <v/>
      </c>
    </row>
    <row r="58" spans="1:16" s="26" customFormat="1" ht="21.75" customHeight="1">
      <c r="A58" s="33">
        <v>45</v>
      </c>
      <c r="B58" s="36"/>
      <c r="C58" s="37"/>
      <c r="D58" s="37"/>
      <c r="E58" s="37"/>
      <c r="F58" s="37"/>
      <c r="G58" s="37"/>
      <c r="H58" s="37"/>
      <c r="I58" s="37"/>
      <c r="J58" s="37" t="str">
        <f t="shared" si="7"/>
        <v/>
      </c>
      <c r="K58" s="38" t="str">
        <f t="shared" si="8"/>
        <v/>
      </c>
      <c r="L58" s="38" t="str">
        <f t="shared" si="9"/>
        <v/>
      </c>
      <c r="M58" s="33" t="str">
        <f t="shared" si="10"/>
        <v/>
      </c>
      <c r="N58" s="33" t="str">
        <f t="shared" si="11"/>
        <v/>
      </c>
      <c r="O58" s="34" t="str">
        <f t="shared" si="12"/>
        <v/>
      </c>
      <c r="P58" s="35" t="str">
        <f t="shared" si="13"/>
        <v/>
      </c>
    </row>
    <row r="59" spans="1:16" s="26" customFormat="1" ht="21.75" customHeight="1">
      <c r="A59" s="33">
        <v>46</v>
      </c>
      <c r="B59" s="36"/>
      <c r="C59" s="37"/>
      <c r="D59" s="37"/>
      <c r="E59" s="37"/>
      <c r="F59" s="37"/>
      <c r="G59" s="37"/>
      <c r="H59" s="37"/>
      <c r="I59" s="37"/>
      <c r="J59" s="37" t="str">
        <f t="shared" si="7"/>
        <v/>
      </c>
      <c r="K59" s="38" t="str">
        <f t="shared" si="8"/>
        <v/>
      </c>
      <c r="L59" s="38" t="str">
        <f t="shared" si="9"/>
        <v/>
      </c>
      <c r="M59" s="33" t="str">
        <f t="shared" si="10"/>
        <v/>
      </c>
      <c r="N59" s="33" t="str">
        <f t="shared" si="11"/>
        <v/>
      </c>
      <c r="O59" s="34" t="str">
        <f t="shared" si="12"/>
        <v/>
      </c>
      <c r="P59" s="35" t="str">
        <f t="shared" si="13"/>
        <v/>
      </c>
    </row>
    <row r="60" spans="1:16" s="26" customFormat="1" ht="21.75" customHeight="1">
      <c r="A60" s="33">
        <v>47</v>
      </c>
      <c r="B60" s="36"/>
      <c r="C60" s="37"/>
      <c r="D60" s="37"/>
      <c r="E60" s="37"/>
      <c r="F60" s="37"/>
      <c r="G60" s="37"/>
      <c r="H60" s="37"/>
      <c r="I60" s="37"/>
      <c r="J60" s="37" t="str">
        <f t="shared" si="7"/>
        <v/>
      </c>
      <c r="K60" s="38" t="str">
        <f t="shared" si="8"/>
        <v/>
      </c>
      <c r="L60" s="38" t="str">
        <f t="shared" si="9"/>
        <v/>
      </c>
      <c r="M60" s="33" t="str">
        <f t="shared" si="10"/>
        <v/>
      </c>
      <c r="N60" s="33" t="str">
        <f t="shared" si="11"/>
        <v/>
      </c>
      <c r="O60" s="34" t="str">
        <f t="shared" si="12"/>
        <v/>
      </c>
      <c r="P60" s="35" t="str">
        <f t="shared" si="13"/>
        <v/>
      </c>
    </row>
    <row r="61" spans="1:16" s="26" customFormat="1" ht="21.75" customHeight="1">
      <c r="A61" s="33">
        <v>48</v>
      </c>
      <c r="B61" s="36"/>
      <c r="C61" s="37"/>
      <c r="D61" s="37"/>
      <c r="E61" s="37"/>
      <c r="F61" s="37"/>
      <c r="G61" s="37"/>
      <c r="H61" s="37"/>
      <c r="I61" s="37"/>
      <c r="J61" s="37" t="str">
        <f t="shared" si="7"/>
        <v/>
      </c>
      <c r="K61" s="38" t="str">
        <f t="shared" si="8"/>
        <v/>
      </c>
      <c r="L61" s="38" t="str">
        <f t="shared" si="9"/>
        <v/>
      </c>
      <c r="M61" s="33" t="str">
        <f t="shared" si="10"/>
        <v/>
      </c>
      <c r="N61" s="33" t="str">
        <f t="shared" si="11"/>
        <v/>
      </c>
      <c r="O61" s="34" t="str">
        <f t="shared" si="12"/>
        <v/>
      </c>
      <c r="P61" s="35" t="str">
        <f t="shared" si="13"/>
        <v/>
      </c>
    </row>
    <row r="62" spans="1:16" s="26" customFormat="1" ht="21.75" customHeight="1">
      <c r="A62" s="33">
        <v>49</v>
      </c>
      <c r="B62" s="36"/>
      <c r="C62" s="37"/>
      <c r="D62" s="37"/>
      <c r="E62" s="37"/>
      <c r="F62" s="37"/>
      <c r="G62" s="37"/>
      <c r="H62" s="37"/>
      <c r="I62" s="37"/>
      <c r="J62" s="37" t="str">
        <f t="shared" si="7"/>
        <v/>
      </c>
      <c r="K62" s="38" t="str">
        <f t="shared" si="8"/>
        <v/>
      </c>
      <c r="L62" s="38" t="str">
        <f t="shared" si="9"/>
        <v/>
      </c>
      <c r="M62" s="33" t="str">
        <f t="shared" si="10"/>
        <v/>
      </c>
      <c r="N62" s="33" t="str">
        <f t="shared" si="11"/>
        <v/>
      </c>
      <c r="O62" s="34" t="str">
        <f t="shared" si="12"/>
        <v/>
      </c>
      <c r="P62" s="35" t="str">
        <f t="shared" si="13"/>
        <v/>
      </c>
    </row>
    <row r="63" spans="1:16" s="26" customFormat="1" ht="21.75" customHeight="1">
      <c r="A63" s="33">
        <v>50</v>
      </c>
      <c r="B63" s="36"/>
      <c r="C63" s="37"/>
      <c r="D63" s="37"/>
      <c r="E63" s="37"/>
      <c r="F63" s="37"/>
      <c r="G63" s="37"/>
      <c r="H63" s="37"/>
      <c r="I63" s="37"/>
      <c r="J63" s="37" t="str">
        <f t="shared" si="7"/>
        <v/>
      </c>
      <c r="K63" s="38" t="str">
        <f t="shared" si="8"/>
        <v/>
      </c>
      <c r="L63" s="38" t="str">
        <f t="shared" si="9"/>
        <v/>
      </c>
      <c r="M63" s="33" t="str">
        <f t="shared" si="10"/>
        <v/>
      </c>
      <c r="N63" s="33" t="str">
        <f t="shared" si="11"/>
        <v/>
      </c>
      <c r="O63" s="34" t="str">
        <f t="shared" si="12"/>
        <v/>
      </c>
      <c r="P63" s="35" t="str">
        <f t="shared" si="13"/>
        <v/>
      </c>
    </row>
    <row r="64" spans="1:16" s="26" customFormat="1" ht="21.75" customHeight="1">
      <c r="A64" s="33">
        <v>51</v>
      </c>
      <c r="B64" s="36"/>
      <c r="C64" s="37"/>
      <c r="D64" s="37"/>
      <c r="E64" s="37"/>
      <c r="F64" s="37"/>
      <c r="G64" s="37"/>
      <c r="H64" s="37"/>
      <c r="I64" s="37"/>
      <c r="J64" s="37"/>
      <c r="K64" s="38"/>
      <c r="L64" s="38"/>
      <c r="M64" s="33"/>
      <c r="N64" s="33"/>
      <c r="O64" s="34"/>
      <c r="P64" s="35"/>
    </row>
    <row r="65" spans="1:16" s="26" customFormat="1" ht="21.75" customHeight="1">
      <c r="A65" s="33">
        <v>52</v>
      </c>
      <c r="B65" s="36"/>
      <c r="C65" s="37"/>
      <c r="D65" s="37"/>
      <c r="E65" s="37"/>
      <c r="F65" s="37"/>
      <c r="G65" s="37"/>
      <c r="H65" s="37"/>
      <c r="I65" s="37"/>
      <c r="J65" s="37"/>
      <c r="K65" s="38"/>
      <c r="L65" s="38"/>
      <c r="M65" s="33"/>
      <c r="N65" s="33"/>
      <c r="O65" s="34"/>
      <c r="P65" s="35"/>
    </row>
    <row r="66" spans="1:16" s="26" customFormat="1" ht="21.75" customHeight="1">
      <c r="A66" s="33">
        <v>53</v>
      </c>
      <c r="B66" s="36"/>
      <c r="C66" s="37"/>
      <c r="D66" s="37"/>
      <c r="E66" s="37"/>
      <c r="F66" s="37"/>
      <c r="G66" s="37"/>
      <c r="H66" s="37"/>
      <c r="I66" s="37"/>
      <c r="J66" s="37"/>
      <c r="K66" s="38"/>
      <c r="L66" s="38"/>
      <c r="M66" s="33"/>
      <c r="N66" s="33"/>
      <c r="O66" s="34"/>
      <c r="P66" s="35"/>
    </row>
    <row r="67" spans="1:16" s="26" customFormat="1" ht="21.75" customHeight="1">
      <c r="A67" s="33">
        <v>54</v>
      </c>
      <c r="B67" s="36"/>
      <c r="C67" s="37"/>
      <c r="D67" s="37"/>
      <c r="E67" s="37"/>
      <c r="F67" s="37"/>
      <c r="G67" s="37"/>
      <c r="H67" s="37"/>
      <c r="I67" s="37"/>
      <c r="J67" s="37"/>
      <c r="K67" s="38"/>
      <c r="L67" s="38"/>
      <c r="M67" s="33"/>
      <c r="N67" s="33"/>
      <c r="O67" s="34"/>
      <c r="P67" s="35"/>
    </row>
    <row r="68" spans="1:16" s="26" customFormat="1" ht="21.75" customHeight="1">
      <c r="A68" s="33">
        <v>55</v>
      </c>
      <c r="B68" s="36"/>
      <c r="C68" s="37"/>
      <c r="D68" s="37"/>
      <c r="E68" s="37"/>
      <c r="F68" s="37"/>
      <c r="G68" s="37"/>
      <c r="H68" s="37"/>
      <c r="I68" s="37"/>
      <c r="J68" s="37"/>
      <c r="K68" s="38"/>
      <c r="L68" s="38"/>
      <c r="M68" s="33"/>
      <c r="N68" s="33"/>
      <c r="O68" s="34"/>
      <c r="P68" s="35"/>
    </row>
    <row r="69" spans="1:16" s="26" customFormat="1" ht="21.75" customHeight="1">
      <c r="A69" s="33">
        <v>56</v>
      </c>
      <c r="B69" s="36"/>
      <c r="C69" s="37"/>
      <c r="D69" s="37"/>
      <c r="E69" s="37"/>
      <c r="F69" s="37"/>
      <c r="G69" s="37"/>
      <c r="H69" s="37"/>
      <c r="I69" s="37"/>
      <c r="J69" s="37"/>
      <c r="K69" s="38"/>
      <c r="L69" s="38"/>
      <c r="M69" s="33"/>
      <c r="N69" s="33"/>
      <c r="O69" s="34"/>
      <c r="P69" s="35"/>
    </row>
    <row r="70" spans="1:16" s="26" customFormat="1" ht="21.75" customHeight="1">
      <c r="A70" s="33">
        <v>57</v>
      </c>
      <c r="B70" s="36"/>
      <c r="C70" s="37"/>
      <c r="D70" s="37"/>
      <c r="E70" s="37"/>
      <c r="F70" s="37"/>
      <c r="G70" s="37"/>
      <c r="H70" s="37"/>
      <c r="I70" s="37"/>
      <c r="J70" s="37" t="str">
        <f t="shared" ref="J70:J113" si="14">IF($B70="","",IF(COUNT(C70:I70)=0,"অনুপস্থিত",IF(COUNT(C70:I70)&lt;7,"অসম্পূর্ণ",SUM(C70:I70))))</f>
        <v/>
      </c>
      <c r="K70" s="38" t="str">
        <f t="shared" ref="K70:K113" si="15">IF($B70="","",IF(COUNT(C70:I70)=0,"অনুপস্থিত",IF(COUNT(C70:I70)&lt;7,"অসম্পূর্ণ",ROUND(SUM(C70:I70)/7,2))))</f>
        <v/>
      </c>
      <c r="L70" s="38" t="str">
        <f t="shared" ref="L70:L113" si="16">IF($B70="","",IF(COUNT(C70:I70)=0,"অনুপস্থিত",IF(COUNT(C70:I70)&lt;7,"অসম্পূর্ণ",ROUND((IF(ISNUMBER(C70),IF(C70&gt;=80,5,IF(C70&gt;=70,4,IF(C70&gt;=60,3.5,IF(C70&gt;=50,3,IF(C70&gt;=40,2,IF(C70&gt;=33,1,0)))))),0)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IF(ISNUMBER(I70),IF(I70&gt;=80,5,IF(I70&gt;=70,4,IF(I70&gt;=60,3.5,IF(I70&gt;=50,3,IF(I70&gt;=40,2,IF(I70&gt;=33,1,0)))))),0))/7,2))))</f>
        <v/>
      </c>
      <c r="M70" s="33" t="str">
        <f t="shared" ref="M70:M113" si="17">IF($B70="","",IF(COUNT(C70:I70)=0,"অনুপস্থিত",IF(COUNT(C70:I70)&lt;7,"অসম্পূর্ণ",IF(MIN(C70:I70)&lt;33,"ফেল",IF(L70=5,"A+",IF(L70&gt;=4,"A",IF(L70&gt;=3.5,"A-",IF(L70&gt;=3,"B",IF(L70&gt;=2,"C",IF(L70&gt;=1,"D","F"))))))))))</f>
        <v/>
      </c>
      <c r="N70" s="33" t="str">
        <f t="shared" ref="N70:N113" si="18">IF($B70="","",IF($M70="ফেল","ফেল",IF($M70="অনুপস্থিত","অনুপস্থিত",IF($M70="অসম্পূর্ণ","অসম্পূর্ণ",IF($O70=1,"1ম",IF($O70=2,"2য়",IF($O70=3,"3য়",$O70)))))))</f>
        <v/>
      </c>
      <c r="O70" s="34"/>
      <c r="P70" s="35"/>
    </row>
    <row r="71" spans="1:16" s="26" customFormat="1" ht="21.75" customHeight="1">
      <c r="A71" s="33">
        <v>58</v>
      </c>
      <c r="B71" s="36"/>
      <c r="C71" s="37"/>
      <c r="D71" s="37"/>
      <c r="E71" s="37"/>
      <c r="F71" s="37"/>
      <c r="G71" s="37"/>
      <c r="H71" s="37"/>
      <c r="I71" s="37"/>
      <c r="J71" s="37" t="str">
        <f t="shared" si="14"/>
        <v/>
      </c>
      <c r="K71" s="38" t="str">
        <f t="shared" si="15"/>
        <v/>
      </c>
      <c r="L71" s="38" t="str">
        <f t="shared" si="16"/>
        <v/>
      </c>
      <c r="M71" s="33" t="str">
        <f t="shared" si="17"/>
        <v/>
      </c>
      <c r="N71" s="33" t="str">
        <f t="shared" si="18"/>
        <v/>
      </c>
      <c r="O71" s="34"/>
      <c r="P71" s="35"/>
    </row>
    <row r="72" spans="1:16" s="26" customFormat="1" ht="21.75" customHeight="1">
      <c r="A72" s="33">
        <v>59</v>
      </c>
      <c r="B72" s="36"/>
      <c r="C72" s="37"/>
      <c r="D72" s="37"/>
      <c r="E72" s="37"/>
      <c r="F72" s="37"/>
      <c r="G72" s="37"/>
      <c r="H72" s="37"/>
      <c r="I72" s="37"/>
      <c r="J72" s="37" t="str">
        <f t="shared" si="14"/>
        <v/>
      </c>
      <c r="K72" s="38" t="str">
        <f t="shared" si="15"/>
        <v/>
      </c>
      <c r="L72" s="38" t="str">
        <f t="shared" si="16"/>
        <v/>
      </c>
      <c r="M72" s="33" t="str">
        <f t="shared" si="17"/>
        <v/>
      </c>
      <c r="N72" s="33" t="str">
        <f t="shared" si="18"/>
        <v/>
      </c>
      <c r="O72" s="34"/>
      <c r="P72" s="35"/>
    </row>
    <row r="73" spans="1:16" s="26" customFormat="1" ht="21.75" customHeight="1">
      <c r="A73" s="33">
        <v>60</v>
      </c>
      <c r="B73" s="36"/>
      <c r="C73" s="37"/>
      <c r="D73" s="37"/>
      <c r="E73" s="37"/>
      <c r="F73" s="37"/>
      <c r="G73" s="37"/>
      <c r="H73" s="37"/>
      <c r="I73" s="37"/>
      <c r="J73" s="37" t="str">
        <f t="shared" si="14"/>
        <v/>
      </c>
      <c r="K73" s="38" t="str">
        <f t="shared" si="15"/>
        <v/>
      </c>
      <c r="L73" s="38" t="str">
        <f t="shared" si="16"/>
        <v/>
      </c>
      <c r="M73" s="33" t="str">
        <f t="shared" si="17"/>
        <v/>
      </c>
      <c r="N73" s="33" t="str">
        <f t="shared" si="18"/>
        <v/>
      </c>
      <c r="O73" s="34"/>
      <c r="P73" s="35"/>
    </row>
    <row r="74" spans="1:16" s="26" customFormat="1" ht="21.75" customHeight="1">
      <c r="A74" s="33">
        <v>61</v>
      </c>
      <c r="B74" s="36"/>
      <c r="C74" s="37"/>
      <c r="D74" s="37"/>
      <c r="E74" s="37"/>
      <c r="F74" s="37"/>
      <c r="G74" s="37"/>
      <c r="H74" s="37"/>
      <c r="I74" s="37"/>
      <c r="J74" s="37" t="str">
        <f t="shared" si="14"/>
        <v/>
      </c>
      <c r="K74" s="38" t="str">
        <f t="shared" si="15"/>
        <v/>
      </c>
      <c r="L74" s="38" t="str">
        <f t="shared" si="16"/>
        <v/>
      </c>
      <c r="M74" s="33" t="str">
        <f t="shared" si="17"/>
        <v/>
      </c>
      <c r="N74" s="33" t="str">
        <f t="shared" si="18"/>
        <v/>
      </c>
      <c r="O74" s="34"/>
      <c r="P74" s="35"/>
    </row>
    <row r="75" spans="1:16" s="26" customFormat="1" ht="21.75" customHeight="1">
      <c r="A75" s="33">
        <v>62</v>
      </c>
      <c r="B75" s="36"/>
      <c r="C75" s="37"/>
      <c r="D75" s="37"/>
      <c r="E75" s="37"/>
      <c r="F75" s="37"/>
      <c r="G75" s="37"/>
      <c r="H75" s="37"/>
      <c r="I75" s="37"/>
      <c r="J75" s="37" t="str">
        <f t="shared" si="14"/>
        <v/>
      </c>
      <c r="K75" s="38" t="str">
        <f t="shared" si="15"/>
        <v/>
      </c>
      <c r="L75" s="38" t="str">
        <f t="shared" si="16"/>
        <v/>
      </c>
      <c r="M75" s="33" t="str">
        <f t="shared" si="17"/>
        <v/>
      </c>
      <c r="N75" s="33" t="str">
        <f t="shared" si="18"/>
        <v/>
      </c>
      <c r="O75" s="34"/>
      <c r="P75" s="35"/>
    </row>
    <row r="76" spans="1:16" s="26" customFormat="1" ht="21.75" customHeight="1">
      <c r="A76" s="33">
        <v>63</v>
      </c>
      <c r="B76" s="36"/>
      <c r="C76" s="37"/>
      <c r="D76" s="37"/>
      <c r="E76" s="37"/>
      <c r="F76" s="37"/>
      <c r="G76" s="37"/>
      <c r="H76" s="37"/>
      <c r="I76" s="37"/>
      <c r="J76" s="37" t="str">
        <f t="shared" si="14"/>
        <v/>
      </c>
      <c r="K76" s="38" t="str">
        <f t="shared" si="15"/>
        <v/>
      </c>
      <c r="L76" s="38" t="str">
        <f t="shared" si="16"/>
        <v/>
      </c>
      <c r="M76" s="33" t="str">
        <f t="shared" si="17"/>
        <v/>
      </c>
      <c r="N76" s="33" t="str">
        <f t="shared" si="18"/>
        <v/>
      </c>
      <c r="O76" s="34"/>
      <c r="P76" s="35"/>
    </row>
    <row r="77" spans="1:16" s="26" customFormat="1" ht="21.75" customHeight="1">
      <c r="A77" s="33">
        <v>64</v>
      </c>
      <c r="B77" s="36"/>
      <c r="C77" s="37"/>
      <c r="D77" s="37"/>
      <c r="E77" s="37"/>
      <c r="F77" s="37"/>
      <c r="G77" s="37"/>
      <c r="H77" s="37"/>
      <c r="I77" s="37"/>
      <c r="J77" s="37" t="str">
        <f t="shared" si="14"/>
        <v/>
      </c>
      <c r="K77" s="38" t="str">
        <f t="shared" si="15"/>
        <v/>
      </c>
      <c r="L77" s="38" t="str">
        <f t="shared" si="16"/>
        <v/>
      </c>
      <c r="M77" s="33" t="str">
        <f t="shared" si="17"/>
        <v/>
      </c>
      <c r="N77" s="33" t="str">
        <f t="shared" si="18"/>
        <v/>
      </c>
      <c r="O77" s="34"/>
      <c r="P77" s="35"/>
    </row>
    <row r="78" spans="1:16" s="26" customFormat="1" ht="21.75" customHeight="1">
      <c r="A78" s="33">
        <v>65</v>
      </c>
      <c r="B78" s="36"/>
      <c r="C78" s="37"/>
      <c r="D78" s="37"/>
      <c r="E78" s="37"/>
      <c r="F78" s="37"/>
      <c r="G78" s="37"/>
      <c r="H78" s="37"/>
      <c r="I78" s="37"/>
      <c r="J78" s="37" t="str">
        <f t="shared" si="14"/>
        <v/>
      </c>
      <c r="K78" s="38" t="str">
        <f t="shared" si="15"/>
        <v/>
      </c>
      <c r="L78" s="38" t="str">
        <f t="shared" si="16"/>
        <v/>
      </c>
      <c r="M78" s="33" t="str">
        <f t="shared" si="17"/>
        <v/>
      </c>
      <c r="N78" s="33" t="str">
        <f t="shared" si="18"/>
        <v/>
      </c>
      <c r="O78" s="34" t="str">
        <f t="shared" ref="O78:O113" si="19">IF($B78="","",IF(OR($M78="ফেল",$M78="অনুপস্থিত",$M78="অসম্পূর্ণ"),"",1+SUMPRODUCT(($P$14:$P$113&lt;&gt;"")*($P$14:$P$113&gt;$P78)/COUNTIF($P$14:$P$113,$P$14:$P$113))))</f>
        <v/>
      </c>
      <c r="P78" s="35" t="str">
        <f t="shared" ref="P78:P113" si="20">IF($B78="","",IF(OR($M78="ফেল",$M78="অনুপস্থিত",$M78="অসম্পূর্ণ"),"",$K78))</f>
        <v/>
      </c>
    </row>
    <row r="79" spans="1:16" s="26" customFormat="1" ht="21.75" customHeight="1">
      <c r="A79" s="33">
        <v>66</v>
      </c>
      <c r="B79" s="36"/>
      <c r="C79" s="37"/>
      <c r="D79" s="37"/>
      <c r="E79" s="37"/>
      <c r="F79" s="37"/>
      <c r="G79" s="37"/>
      <c r="H79" s="37"/>
      <c r="I79" s="37"/>
      <c r="J79" s="37" t="str">
        <f t="shared" si="14"/>
        <v/>
      </c>
      <c r="K79" s="38" t="str">
        <f t="shared" si="15"/>
        <v/>
      </c>
      <c r="L79" s="38" t="str">
        <f t="shared" si="16"/>
        <v/>
      </c>
      <c r="M79" s="33" t="str">
        <f t="shared" si="17"/>
        <v/>
      </c>
      <c r="N79" s="33" t="str">
        <f t="shared" si="18"/>
        <v/>
      </c>
      <c r="O79" s="34" t="str">
        <f t="shared" si="19"/>
        <v/>
      </c>
      <c r="P79" s="35" t="str">
        <f t="shared" si="20"/>
        <v/>
      </c>
    </row>
    <row r="80" spans="1:16" s="26" customFormat="1" ht="21.75" customHeight="1">
      <c r="A80" s="33">
        <v>67</v>
      </c>
      <c r="B80" s="36"/>
      <c r="C80" s="37"/>
      <c r="D80" s="37"/>
      <c r="E80" s="37"/>
      <c r="F80" s="37"/>
      <c r="G80" s="37"/>
      <c r="H80" s="37"/>
      <c r="I80" s="37"/>
      <c r="J80" s="37" t="str">
        <f t="shared" si="14"/>
        <v/>
      </c>
      <c r="K80" s="38" t="str">
        <f t="shared" si="15"/>
        <v/>
      </c>
      <c r="L80" s="38" t="str">
        <f t="shared" si="16"/>
        <v/>
      </c>
      <c r="M80" s="33" t="str">
        <f t="shared" si="17"/>
        <v/>
      </c>
      <c r="N80" s="33" t="str">
        <f t="shared" si="18"/>
        <v/>
      </c>
      <c r="O80" s="34" t="str">
        <f t="shared" si="19"/>
        <v/>
      </c>
      <c r="P80" s="35" t="str">
        <f t="shared" si="20"/>
        <v/>
      </c>
    </row>
    <row r="81" spans="1:16" s="26" customFormat="1" ht="21.75" customHeight="1">
      <c r="A81" s="33">
        <v>68</v>
      </c>
      <c r="B81" s="36"/>
      <c r="C81" s="37"/>
      <c r="D81" s="37"/>
      <c r="E81" s="37"/>
      <c r="F81" s="37"/>
      <c r="G81" s="37"/>
      <c r="H81" s="37"/>
      <c r="I81" s="37"/>
      <c r="J81" s="37" t="str">
        <f t="shared" si="14"/>
        <v/>
      </c>
      <c r="K81" s="38" t="str">
        <f t="shared" si="15"/>
        <v/>
      </c>
      <c r="L81" s="38" t="str">
        <f t="shared" si="16"/>
        <v/>
      </c>
      <c r="M81" s="33" t="str">
        <f t="shared" si="17"/>
        <v/>
      </c>
      <c r="N81" s="33" t="str">
        <f t="shared" si="18"/>
        <v/>
      </c>
      <c r="O81" s="34" t="str">
        <f t="shared" si="19"/>
        <v/>
      </c>
      <c r="P81" s="35" t="str">
        <f t="shared" si="20"/>
        <v/>
      </c>
    </row>
    <row r="82" spans="1:16" s="26" customFormat="1" ht="21.75" customHeight="1">
      <c r="A82" s="33">
        <v>69</v>
      </c>
      <c r="B82" s="36"/>
      <c r="C82" s="37"/>
      <c r="D82" s="37"/>
      <c r="E82" s="37"/>
      <c r="F82" s="37"/>
      <c r="G82" s="37"/>
      <c r="H82" s="37"/>
      <c r="I82" s="37"/>
      <c r="J82" s="37" t="str">
        <f t="shared" si="14"/>
        <v/>
      </c>
      <c r="K82" s="38" t="str">
        <f t="shared" si="15"/>
        <v/>
      </c>
      <c r="L82" s="38" t="str">
        <f t="shared" si="16"/>
        <v/>
      </c>
      <c r="M82" s="33" t="str">
        <f t="shared" si="17"/>
        <v/>
      </c>
      <c r="N82" s="33" t="str">
        <f t="shared" si="18"/>
        <v/>
      </c>
      <c r="O82" s="34" t="str">
        <f t="shared" si="19"/>
        <v/>
      </c>
      <c r="P82" s="35" t="str">
        <f t="shared" si="20"/>
        <v/>
      </c>
    </row>
    <row r="83" spans="1:16" s="26" customFormat="1" ht="21.75" customHeight="1">
      <c r="A83" s="33">
        <v>70</v>
      </c>
      <c r="B83" s="36"/>
      <c r="C83" s="37"/>
      <c r="D83" s="37"/>
      <c r="E83" s="37"/>
      <c r="F83" s="37"/>
      <c r="G83" s="37"/>
      <c r="H83" s="37"/>
      <c r="I83" s="37"/>
      <c r="J83" s="37" t="str">
        <f t="shared" si="14"/>
        <v/>
      </c>
      <c r="K83" s="38" t="str">
        <f t="shared" si="15"/>
        <v/>
      </c>
      <c r="L83" s="38" t="str">
        <f t="shared" si="16"/>
        <v/>
      </c>
      <c r="M83" s="33" t="str">
        <f t="shared" si="17"/>
        <v/>
      </c>
      <c r="N83" s="33" t="str">
        <f t="shared" si="18"/>
        <v/>
      </c>
      <c r="O83" s="34" t="str">
        <f t="shared" si="19"/>
        <v/>
      </c>
      <c r="P83" s="35" t="str">
        <f t="shared" si="20"/>
        <v/>
      </c>
    </row>
    <row r="84" spans="1:16" s="26" customFormat="1" ht="21.75" customHeight="1">
      <c r="A84" s="33">
        <v>71</v>
      </c>
      <c r="B84" s="36"/>
      <c r="C84" s="37"/>
      <c r="D84" s="37"/>
      <c r="E84" s="37"/>
      <c r="F84" s="37"/>
      <c r="G84" s="37"/>
      <c r="H84" s="37"/>
      <c r="I84" s="37"/>
      <c r="J84" s="37" t="str">
        <f t="shared" si="14"/>
        <v/>
      </c>
      <c r="K84" s="38" t="str">
        <f t="shared" si="15"/>
        <v/>
      </c>
      <c r="L84" s="38" t="str">
        <f t="shared" si="16"/>
        <v/>
      </c>
      <c r="M84" s="33" t="str">
        <f t="shared" si="17"/>
        <v/>
      </c>
      <c r="N84" s="33" t="str">
        <f t="shared" si="18"/>
        <v/>
      </c>
      <c r="O84" s="34" t="str">
        <f t="shared" si="19"/>
        <v/>
      </c>
      <c r="P84" s="35" t="str">
        <f t="shared" si="20"/>
        <v/>
      </c>
    </row>
    <row r="85" spans="1:16" s="26" customFormat="1" ht="21.75" customHeight="1">
      <c r="A85" s="33">
        <v>72</v>
      </c>
      <c r="B85" s="36"/>
      <c r="C85" s="37"/>
      <c r="D85" s="37"/>
      <c r="E85" s="37"/>
      <c r="F85" s="37"/>
      <c r="G85" s="37"/>
      <c r="H85" s="37"/>
      <c r="I85" s="37"/>
      <c r="J85" s="37" t="str">
        <f t="shared" si="14"/>
        <v/>
      </c>
      <c r="K85" s="38" t="str">
        <f t="shared" si="15"/>
        <v/>
      </c>
      <c r="L85" s="38" t="str">
        <f t="shared" si="16"/>
        <v/>
      </c>
      <c r="M85" s="33" t="str">
        <f t="shared" si="17"/>
        <v/>
      </c>
      <c r="N85" s="33" t="str">
        <f t="shared" si="18"/>
        <v/>
      </c>
      <c r="O85" s="34" t="str">
        <f t="shared" si="19"/>
        <v/>
      </c>
      <c r="P85" s="35" t="str">
        <f t="shared" si="20"/>
        <v/>
      </c>
    </row>
    <row r="86" spans="1:16" s="26" customFormat="1" ht="21.75" customHeight="1">
      <c r="A86" s="33">
        <v>73</v>
      </c>
      <c r="B86" s="36"/>
      <c r="C86" s="37"/>
      <c r="D86" s="37"/>
      <c r="E86" s="37"/>
      <c r="F86" s="37"/>
      <c r="G86" s="37"/>
      <c r="H86" s="37"/>
      <c r="I86" s="37"/>
      <c r="J86" s="37" t="str">
        <f t="shared" si="14"/>
        <v/>
      </c>
      <c r="K86" s="38" t="str">
        <f t="shared" si="15"/>
        <v/>
      </c>
      <c r="L86" s="38" t="str">
        <f t="shared" si="16"/>
        <v/>
      </c>
      <c r="M86" s="33" t="str">
        <f t="shared" si="17"/>
        <v/>
      </c>
      <c r="N86" s="33" t="str">
        <f t="shared" si="18"/>
        <v/>
      </c>
      <c r="O86" s="34" t="str">
        <f t="shared" si="19"/>
        <v/>
      </c>
      <c r="P86" s="35" t="str">
        <f t="shared" si="20"/>
        <v/>
      </c>
    </row>
    <row r="87" spans="1:16" s="26" customFormat="1" ht="21.75" customHeight="1">
      <c r="A87" s="33">
        <v>74</v>
      </c>
      <c r="B87" s="36"/>
      <c r="C87" s="37"/>
      <c r="D87" s="37"/>
      <c r="E87" s="37"/>
      <c r="F87" s="37"/>
      <c r="G87" s="37"/>
      <c r="H87" s="37"/>
      <c r="I87" s="37"/>
      <c r="J87" s="37" t="str">
        <f t="shared" si="14"/>
        <v/>
      </c>
      <c r="K87" s="38" t="str">
        <f t="shared" si="15"/>
        <v/>
      </c>
      <c r="L87" s="38" t="str">
        <f t="shared" si="16"/>
        <v/>
      </c>
      <c r="M87" s="33" t="str">
        <f t="shared" si="17"/>
        <v/>
      </c>
      <c r="N87" s="33" t="str">
        <f t="shared" si="18"/>
        <v/>
      </c>
      <c r="O87" s="34" t="str">
        <f t="shared" si="19"/>
        <v/>
      </c>
      <c r="P87" s="35" t="str">
        <f t="shared" si="20"/>
        <v/>
      </c>
    </row>
    <row r="88" spans="1:16" s="26" customFormat="1" ht="21.75" customHeight="1">
      <c r="A88" s="33">
        <v>75</v>
      </c>
      <c r="B88" s="36"/>
      <c r="C88" s="37"/>
      <c r="D88" s="37"/>
      <c r="E88" s="37"/>
      <c r="F88" s="37"/>
      <c r="G88" s="37"/>
      <c r="H88" s="37"/>
      <c r="I88" s="37"/>
      <c r="J88" s="37" t="str">
        <f t="shared" si="14"/>
        <v/>
      </c>
      <c r="K88" s="38" t="str">
        <f t="shared" si="15"/>
        <v/>
      </c>
      <c r="L88" s="38" t="str">
        <f t="shared" si="16"/>
        <v/>
      </c>
      <c r="M88" s="33" t="str">
        <f t="shared" si="17"/>
        <v/>
      </c>
      <c r="N88" s="33" t="str">
        <f t="shared" si="18"/>
        <v/>
      </c>
      <c r="O88" s="34" t="str">
        <f t="shared" si="19"/>
        <v/>
      </c>
      <c r="P88" s="35" t="str">
        <f t="shared" si="20"/>
        <v/>
      </c>
    </row>
    <row r="89" spans="1:16" s="26" customFormat="1" ht="21.75" customHeight="1">
      <c r="A89" s="33">
        <v>76</v>
      </c>
      <c r="B89" s="36"/>
      <c r="C89" s="37"/>
      <c r="D89" s="37"/>
      <c r="E89" s="37"/>
      <c r="F89" s="37"/>
      <c r="G89" s="37"/>
      <c r="H89" s="37"/>
      <c r="I89" s="37"/>
      <c r="J89" s="37" t="str">
        <f t="shared" si="14"/>
        <v/>
      </c>
      <c r="K89" s="38" t="str">
        <f t="shared" si="15"/>
        <v/>
      </c>
      <c r="L89" s="38" t="str">
        <f t="shared" si="16"/>
        <v/>
      </c>
      <c r="M89" s="33" t="str">
        <f t="shared" si="17"/>
        <v/>
      </c>
      <c r="N89" s="33" t="str">
        <f t="shared" si="18"/>
        <v/>
      </c>
      <c r="O89" s="34" t="str">
        <f t="shared" si="19"/>
        <v/>
      </c>
      <c r="P89" s="35" t="str">
        <f t="shared" si="20"/>
        <v/>
      </c>
    </row>
    <row r="90" spans="1:16" s="26" customFormat="1" ht="21.75" customHeight="1">
      <c r="A90" s="33">
        <v>77</v>
      </c>
      <c r="B90" s="36"/>
      <c r="C90" s="37"/>
      <c r="D90" s="37"/>
      <c r="E90" s="37"/>
      <c r="F90" s="37"/>
      <c r="G90" s="37"/>
      <c r="H90" s="37"/>
      <c r="I90" s="37"/>
      <c r="J90" s="37" t="str">
        <f t="shared" si="14"/>
        <v/>
      </c>
      <c r="K90" s="38" t="str">
        <f t="shared" si="15"/>
        <v/>
      </c>
      <c r="L90" s="38" t="str">
        <f t="shared" si="16"/>
        <v/>
      </c>
      <c r="M90" s="33" t="str">
        <f t="shared" si="17"/>
        <v/>
      </c>
      <c r="N90" s="33" t="str">
        <f t="shared" si="18"/>
        <v/>
      </c>
      <c r="O90" s="34" t="str">
        <f t="shared" si="19"/>
        <v/>
      </c>
      <c r="P90" s="35" t="str">
        <f t="shared" si="20"/>
        <v/>
      </c>
    </row>
    <row r="91" spans="1:16" s="26" customFormat="1" ht="21.75" customHeight="1">
      <c r="A91" s="33">
        <v>78</v>
      </c>
      <c r="B91" s="36"/>
      <c r="C91" s="37"/>
      <c r="D91" s="37"/>
      <c r="E91" s="37"/>
      <c r="F91" s="37"/>
      <c r="G91" s="37"/>
      <c r="H91" s="37"/>
      <c r="I91" s="37"/>
      <c r="J91" s="37" t="str">
        <f t="shared" si="14"/>
        <v/>
      </c>
      <c r="K91" s="38" t="str">
        <f t="shared" si="15"/>
        <v/>
      </c>
      <c r="L91" s="38" t="str">
        <f t="shared" si="16"/>
        <v/>
      </c>
      <c r="M91" s="33" t="str">
        <f t="shared" si="17"/>
        <v/>
      </c>
      <c r="N91" s="33" t="str">
        <f t="shared" si="18"/>
        <v/>
      </c>
      <c r="O91" s="34" t="str">
        <f t="shared" si="19"/>
        <v/>
      </c>
      <c r="P91" s="35" t="str">
        <f t="shared" si="20"/>
        <v/>
      </c>
    </row>
    <row r="92" spans="1:16" s="26" customFormat="1" ht="21.75" customHeight="1">
      <c r="A92" s="33">
        <v>79</v>
      </c>
      <c r="B92" s="36"/>
      <c r="C92" s="37"/>
      <c r="D92" s="37"/>
      <c r="E92" s="37"/>
      <c r="F92" s="37"/>
      <c r="G92" s="37"/>
      <c r="H92" s="37"/>
      <c r="I92" s="37"/>
      <c r="J92" s="37" t="str">
        <f t="shared" si="14"/>
        <v/>
      </c>
      <c r="K92" s="38" t="str">
        <f t="shared" si="15"/>
        <v/>
      </c>
      <c r="L92" s="38" t="str">
        <f t="shared" si="16"/>
        <v/>
      </c>
      <c r="M92" s="33" t="str">
        <f t="shared" si="17"/>
        <v/>
      </c>
      <c r="N92" s="33" t="str">
        <f t="shared" si="18"/>
        <v/>
      </c>
      <c r="O92" s="34" t="str">
        <f t="shared" si="19"/>
        <v/>
      </c>
      <c r="P92" s="35" t="str">
        <f t="shared" si="20"/>
        <v/>
      </c>
    </row>
    <row r="93" spans="1:16" s="26" customFormat="1" ht="21.75" customHeight="1">
      <c r="A93" s="33">
        <v>80</v>
      </c>
      <c r="B93" s="36"/>
      <c r="C93" s="37"/>
      <c r="D93" s="37"/>
      <c r="E93" s="37"/>
      <c r="F93" s="37"/>
      <c r="G93" s="37"/>
      <c r="H93" s="37"/>
      <c r="I93" s="37"/>
      <c r="J93" s="37" t="str">
        <f t="shared" si="14"/>
        <v/>
      </c>
      <c r="K93" s="38" t="str">
        <f t="shared" si="15"/>
        <v/>
      </c>
      <c r="L93" s="38" t="str">
        <f t="shared" si="16"/>
        <v/>
      </c>
      <c r="M93" s="33" t="str">
        <f t="shared" si="17"/>
        <v/>
      </c>
      <c r="N93" s="33" t="str">
        <f t="shared" si="18"/>
        <v/>
      </c>
      <c r="O93" s="34" t="str">
        <f t="shared" si="19"/>
        <v/>
      </c>
      <c r="P93" s="35" t="str">
        <f t="shared" si="20"/>
        <v/>
      </c>
    </row>
    <row r="94" spans="1:16" s="26" customFormat="1" ht="21.75" customHeight="1">
      <c r="A94" s="33">
        <v>81</v>
      </c>
      <c r="B94" s="36"/>
      <c r="C94" s="37"/>
      <c r="D94" s="37"/>
      <c r="E94" s="37"/>
      <c r="F94" s="37"/>
      <c r="G94" s="37"/>
      <c r="H94" s="37"/>
      <c r="I94" s="37"/>
      <c r="J94" s="37" t="str">
        <f t="shared" si="14"/>
        <v/>
      </c>
      <c r="K94" s="38" t="str">
        <f t="shared" si="15"/>
        <v/>
      </c>
      <c r="L94" s="38" t="str">
        <f t="shared" si="16"/>
        <v/>
      </c>
      <c r="M94" s="33" t="str">
        <f t="shared" si="17"/>
        <v/>
      </c>
      <c r="N94" s="33" t="str">
        <f t="shared" si="18"/>
        <v/>
      </c>
      <c r="O94" s="34" t="str">
        <f t="shared" si="19"/>
        <v/>
      </c>
      <c r="P94" s="35" t="str">
        <f t="shared" si="20"/>
        <v/>
      </c>
    </row>
    <row r="95" spans="1:16" s="26" customFormat="1" ht="21.75" customHeight="1">
      <c r="A95" s="33">
        <v>82</v>
      </c>
      <c r="B95" s="36"/>
      <c r="C95" s="37"/>
      <c r="D95" s="37"/>
      <c r="E95" s="37"/>
      <c r="F95" s="37"/>
      <c r="G95" s="37"/>
      <c r="H95" s="37"/>
      <c r="I95" s="37"/>
      <c r="J95" s="37" t="str">
        <f t="shared" si="14"/>
        <v/>
      </c>
      <c r="K95" s="38" t="str">
        <f t="shared" si="15"/>
        <v/>
      </c>
      <c r="L95" s="38" t="str">
        <f t="shared" si="16"/>
        <v/>
      </c>
      <c r="M95" s="33" t="str">
        <f t="shared" si="17"/>
        <v/>
      </c>
      <c r="N95" s="33" t="str">
        <f t="shared" si="18"/>
        <v/>
      </c>
      <c r="O95" s="34" t="str">
        <f t="shared" si="19"/>
        <v/>
      </c>
      <c r="P95" s="35" t="str">
        <f t="shared" si="20"/>
        <v/>
      </c>
    </row>
    <row r="96" spans="1:16" s="26" customFormat="1" ht="21.75" customHeight="1">
      <c r="A96" s="33">
        <v>83</v>
      </c>
      <c r="B96" s="36"/>
      <c r="C96" s="37"/>
      <c r="D96" s="37"/>
      <c r="E96" s="37"/>
      <c r="F96" s="37"/>
      <c r="G96" s="37"/>
      <c r="H96" s="37"/>
      <c r="I96" s="37"/>
      <c r="J96" s="37" t="str">
        <f t="shared" si="14"/>
        <v/>
      </c>
      <c r="K96" s="38" t="str">
        <f t="shared" si="15"/>
        <v/>
      </c>
      <c r="L96" s="38" t="str">
        <f t="shared" si="16"/>
        <v/>
      </c>
      <c r="M96" s="33" t="str">
        <f t="shared" si="17"/>
        <v/>
      </c>
      <c r="N96" s="33" t="str">
        <f t="shared" si="18"/>
        <v/>
      </c>
      <c r="O96" s="34" t="str">
        <f t="shared" si="19"/>
        <v/>
      </c>
      <c r="P96" s="35" t="str">
        <f t="shared" si="20"/>
        <v/>
      </c>
    </row>
    <row r="97" spans="1:16" s="26" customFormat="1" ht="21.75" customHeight="1">
      <c r="A97" s="33">
        <v>84</v>
      </c>
      <c r="B97" s="36"/>
      <c r="C97" s="37"/>
      <c r="D97" s="37"/>
      <c r="E97" s="37"/>
      <c r="F97" s="37"/>
      <c r="G97" s="37"/>
      <c r="H97" s="37"/>
      <c r="I97" s="37"/>
      <c r="J97" s="37" t="str">
        <f t="shared" si="14"/>
        <v/>
      </c>
      <c r="K97" s="38" t="str">
        <f t="shared" si="15"/>
        <v/>
      </c>
      <c r="L97" s="38" t="str">
        <f t="shared" si="16"/>
        <v/>
      </c>
      <c r="M97" s="33" t="str">
        <f t="shared" si="17"/>
        <v/>
      </c>
      <c r="N97" s="33" t="str">
        <f t="shared" si="18"/>
        <v/>
      </c>
      <c r="O97" s="34" t="str">
        <f t="shared" si="19"/>
        <v/>
      </c>
      <c r="P97" s="35" t="str">
        <f t="shared" si="20"/>
        <v/>
      </c>
    </row>
    <row r="98" spans="1:16" s="26" customFormat="1" ht="21.75" customHeight="1">
      <c r="A98" s="33">
        <v>85</v>
      </c>
      <c r="B98" s="36"/>
      <c r="C98" s="37"/>
      <c r="D98" s="37"/>
      <c r="E98" s="37"/>
      <c r="F98" s="37"/>
      <c r="G98" s="37"/>
      <c r="H98" s="37"/>
      <c r="I98" s="37"/>
      <c r="J98" s="37" t="str">
        <f t="shared" si="14"/>
        <v/>
      </c>
      <c r="K98" s="38" t="str">
        <f t="shared" si="15"/>
        <v/>
      </c>
      <c r="L98" s="38" t="str">
        <f t="shared" si="16"/>
        <v/>
      </c>
      <c r="M98" s="33" t="str">
        <f t="shared" si="17"/>
        <v/>
      </c>
      <c r="N98" s="33" t="str">
        <f t="shared" si="18"/>
        <v/>
      </c>
      <c r="O98" s="34" t="str">
        <f t="shared" si="19"/>
        <v/>
      </c>
      <c r="P98" s="35" t="str">
        <f t="shared" si="20"/>
        <v/>
      </c>
    </row>
    <row r="99" spans="1:16" s="26" customFormat="1" ht="21.75" customHeight="1">
      <c r="A99" s="33">
        <v>86</v>
      </c>
      <c r="B99" s="36"/>
      <c r="C99" s="37"/>
      <c r="D99" s="37"/>
      <c r="E99" s="37"/>
      <c r="F99" s="37"/>
      <c r="G99" s="37"/>
      <c r="H99" s="37"/>
      <c r="I99" s="37"/>
      <c r="J99" s="37" t="str">
        <f t="shared" si="14"/>
        <v/>
      </c>
      <c r="K99" s="38" t="str">
        <f t="shared" si="15"/>
        <v/>
      </c>
      <c r="L99" s="38" t="str">
        <f t="shared" si="16"/>
        <v/>
      </c>
      <c r="M99" s="33" t="str">
        <f t="shared" si="17"/>
        <v/>
      </c>
      <c r="N99" s="33" t="str">
        <f t="shared" si="18"/>
        <v/>
      </c>
      <c r="O99" s="34" t="str">
        <f t="shared" si="19"/>
        <v/>
      </c>
      <c r="P99" s="35" t="str">
        <f t="shared" si="20"/>
        <v/>
      </c>
    </row>
    <row r="100" spans="1:16" s="26" customFormat="1" ht="21.75" customHeight="1">
      <c r="A100" s="33">
        <v>87</v>
      </c>
      <c r="B100" s="36"/>
      <c r="C100" s="37"/>
      <c r="D100" s="37"/>
      <c r="E100" s="37"/>
      <c r="F100" s="37"/>
      <c r="G100" s="37"/>
      <c r="H100" s="37"/>
      <c r="I100" s="37"/>
      <c r="J100" s="37" t="str">
        <f t="shared" si="14"/>
        <v/>
      </c>
      <c r="K100" s="38" t="str">
        <f t="shared" si="15"/>
        <v/>
      </c>
      <c r="L100" s="38" t="str">
        <f t="shared" si="16"/>
        <v/>
      </c>
      <c r="M100" s="33" t="str">
        <f t="shared" si="17"/>
        <v/>
      </c>
      <c r="N100" s="33" t="str">
        <f t="shared" si="18"/>
        <v/>
      </c>
      <c r="O100" s="34" t="str">
        <f t="shared" si="19"/>
        <v/>
      </c>
      <c r="P100" s="35" t="str">
        <f t="shared" si="20"/>
        <v/>
      </c>
    </row>
    <row r="101" spans="1:16" s="26" customFormat="1" ht="21.75" customHeight="1">
      <c r="A101" s="33">
        <v>88</v>
      </c>
      <c r="B101" s="36"/>
      <c r="C101" s="37"/>
      <c r="D101" s="37"/>
      <c r="E101" s="37"/>
      <c r="F101" s="37"/>
      <c r="G101" s="37"/>
      <c r="H101" s="37"/>
      <c r="I101" s="37"/>
      <c r="J101" s="37" t="str">
        <f t="shared" si="14"/>
        <v/>
      </c>
      <c r="K101" s="38" t="str">
        <f t="shared" si="15"/>
        <v/>
      </c>
      <c r="L101" s="38" t="str">
        <f t="shared" si="16"/>
        <v/>
      </c>
      <c r="M101" s="33" t="str">
        <f t="shared" si="17"/>
        <v/>
      </c>
      <c r="N101" s="33" t="str">
        <f t="shared" si="18"/>
        <v/>
      </c>
      <c r="O101" s="34" t="str">
        <f t="shared" si="19"/>
        <v/>
      </c>
      <c r="P101" s="35" t="str">
        <f t="shared" si="20"/>
        <v/>
      </c>
    </row>
    <row r="102" spans="1:16" s="26" customFormat="1" ht="21.75" customHeight="1">
      <c r="A102" s="33">
        <v>89</v>
      </c>
      <c r="B102" s="36"/>
      <c r="C102" s="37"/>
      <c r="D102" s="37"/>
      <c r="E102" s="37"/>
      <c r="F102" s="37"/>
      <c r="G102" s="37"/>
      <c r="H102" s="37"/>
      <c r="I102" s="37"/>
      <c r="J102" s="37" t="str">
        <f t="shared" si="14"/>
        <v/>
      </c>
      <c r="K102" s="38" t="str">
        <f t="shared" si="15"/>
        <v/>
      </c>
      <c r="L102" s="38" t="str">
        <f t="shared" si="16"/>
        <v/>
      </c>
      <c r="M102" s="33" t="str">
        <f t="shared" si="17"/>
        <v/>
      </c>
      <c r="N102" s="33" t="str">
        <f t="shared" si="18"/>
        <v/>
      </c>
      <c r="O102" s="34" t="str">
        <f t="shared" si="19"/>
        <v/>
      </c>
      <c r="P102" s="35" t="str">
        <f t="shared" si="20"/>
        <v/>
      </c>
    </row>
    <row r="103" spans="1:16" s="26" customFormat="1" ht="21.75" customHeight="1">
      <c r="A103" s="33">
        <v>90</v>
      </c>
      <c r="B103" s="36"/>
      <c r="C103" s="37"/>
      <c r="D103" s="37"/>
      <c r="E103" s="37"/>
      <c r="F103" s="37"/>
      <c r="G103" s="37"/>
      <c r="H103" s="37"/>
      <c r="I103" s="37"/>
      <c r="J103" s="37" t="str">
        <f t="shared" si="14"/>
        <v/>
      </c>
      <c r="K103" s="38" t="str">
        <f t="shared" si="15"/>
        <v/>
      </c>
      <c r="L103" s="38" t="str">
        <f t="shared" si="16"/>
        <v/>
      </c>
      <c r="M103" s="33" t="str">
        <f t="shared" si="17"/>
        <v/>
      </c>
      <c r="N103" s="33" t="str">
        <f t="shared" si="18"/>
        <v/>
      </c>
      <c r="O103" s="34" t="str">
        <f t="shared" si="19"/>
        <v/>
      </c>
      <c r="P103" s="35" t="str">
        <f t="shared" si="20"/>
        <v/>
      </c>
    </row>
    <row r="104" spans="1:16" s="26" customFormat="1" ht="21.75" customHeight="1">
      <c r="A104" s="33">
        <v>91</v>
      </c>
      <c r="B104" s="36"/>
      <c r="C104" s="37"/>
      <c r="D104" s="37"/>
      <c r="E104" s="37"/>
      <c r="F104" s="37"/>
      <c r="G104" s="37"/>
      <c r="H104" s="37"/>
      <c r="I104" s="37"/>
      <c r="J104" s="37" t="str">
        <f t="shared" si="14"/>
        <v/>
      </c>
      <c r="K104" s="38" t="str">
        <f t="shared" si="15"/>
        <v/>
      </c>
      <c r="L104" s="38" t="str">
        <f t="shared" si="16"/>
        <v/>
      </c>
      <c r="M104" s="33" t="str">
        <f t="shared" si="17"/>
        <v/>
      </c>
      <c r="N104" s="33" t="str">
        <f t="shared" si="18"/>
        <v/>
      </c>
      <c r="O104" s="34" t="str">
        <f t="shared" si="19"/>
        <v/>
      </c>
      <c r="P104" s="35" t="str">
        <f t="shared" si="20"/>
        <v/>
      </c>
    </row>
    <row r="105" spans="1:16" s="26" customFormat="1" ht="21.75" customHeight="1">
      <c r="A105" s="33">
        <v>92</v>
      </c>
      <c r="B105" s="36"/>
      <c r="C105" s="37"/>
      <c r="D105" s="37"/>
      <c r="E105" s="37"/>
      <c r="F105" s="37"/>
      <c r="G105" s="37"/>
      <c r="H105" s="37"/>
      <c r="I105" s="37"/>
      <c r="J105" s="37" t="str">
        <f t="shared" si="14"/>
        <v/>
      </c>
      <c r="K105" s="38" t="str">
        <f t="shared" si="15"/>
        <v/>
      </c>
      <c r="L105" s="38" t="str">
        <f t="shared" si="16"/>
        <v/>
      </c>
      <c r="M105" s="33" t="str">
        <f t="shared" si="17"/>
        <v/>
      </c>
      <c r="N105" s="33" t="str">
        <f t="shared" si="18"/>
        <v/>
      </c>
      <c r="O105" s="34" t="str">
        <f t="shared" si="19"/>
        <v/>
      </c>
      <c r="P105" s="35" t="str">
        <f t="shared" si="20"/>
        <v/>
      </c>
    </row>
    <row r="106" spans="1:16" s="26" customFormat="1" ht="21.75" customHeight="1">
      <c r="A106" s="33">
        <v>93</v>
      </c>
      <c r="B106" s="36"/>
      <c r="C106" s="37"/>
      <c r="D106" s="37"/>
      <c r="E106" s="37"/>
      <c r="F106" s="37"/>
      <c r="G106" s="37"/>
      <c r="H106" s="37"/>
      <c r="I106" s="37"/>
      <c r="J106" s="37" t="str">
        <f t="shared" si="14"/>
        <v/>
      </c>
      <c r="K106" s="38" t="str">
        <f t="shared" si="15"/>
        <v/>
      </c>
      <c r="L106" s="38" t="str">
        <f t="shared" si="16"/>
        <v/>
      </c>
      <c r="M106" s="33" t="str">
        <f t="shared" si="17"/>
        <v/>
      </c>
      <c r="N106" s="33" t="str">
        <f t="shared" si="18"/>
        <v/>
      </c>
      <c r="O106" s="34" t="str">
        <f t="shared" si="19"/>
        <v/>
      </c>
      <c r="P106" s="35" t="str">
        <f t="shared" si="20"/>
        <v/>
      </c>
    </row>
    <row r="107" spans="1:16" s="26" customFormat="1" ht="21.75" customHeight="1">
      <c r="A107" s="33">
        <v>94</v>
      </c>
      <c r="B107" s="36"/>
      <c r="C107" s="37"/>
      <c r="D107" s="37"/>
      <c r="E107" s="37"/>
      <c r="F107" s="37"/>
      <c r="G107" s="37"/>
      <c r="H107" s="37"/>
      <c r="I107" s="37"/>
      <c r="J107" s="37" t="str">
        <f t="shared" si="14"/>
        <v/>
      </c>
      <c r="K107" s="38" t="str">
        <f t="shared" si="15"/>
        <v/>
      </c>
      <c r="L107" s="38" t="str">
        <f t="shared" si="16"/>
        <v/>
      </c>
      <c r="M107" s="33" t="str">
        <f t="shared" si="17"/>
        <v/>
      </c>
      <c r="N107" s="33" t="str">
        <f t="shared" si="18"/>
        <v/>
      </c>
      <c r="O107" s="34" t="str">
        <f t="shared" si="19"/>
        <v/>
      </c>
      <c r="P107" s="35" t="str">
        <f t="shared" si="20"/>
        <v/>
      </c>
    </row>
    <row r="108" spans="1:16" s="26" customFormat="1" ht="21.75" customHeight="1">
      <c r="A108" s="33">
        <v>95</v>
      </c>
      <c r="B108" s="36"/>
      <c r="C108" s="37"/>
      <c r="D108" s="37"/>
      <c r="E108" s="37"/>
      <c r="F108" s="37"/>
      <c r="G108" s="37"/>
      <c r="H108" s="37"/>
      <c r="I108" s="37"/>
      <c r="J108" s="37" t="str">
        <f t="shared" si="14"/>
        <v/>
      </c>
      <c r="K108" s="38" t="str">
        <f t="shared" si="15"/>
        <v/>
      </c>
      <c r="L108" s="38" t="str">
        <f t="shared" si="16"/>
        <v/>
      </c>
      <c r="M108" s="33" t="str">
        <f t="shared" si="17"/>
        <v/>
      </c>
      <c r="N108" s="33" t="str">
        <f t="shared" si="18"/>
        <v/>
      </c>
      <c r="O108" s="34" t="str">
        <f t="shared" si="19"/>
        <v/>
      </c>
      <c r="P108" s="35" t="str">
        <f t="shared" si="20"/>
        <v/>
      </c>
    </row>
    <row r="109" spans="1:16" s="26" customFormat="1" ht="21.75" customHeight="1">
      <c r="A109" s="33">
        <v>96</v>
      </c>
      <c r="B109" s="36"/>
      <c r="C109" s="37"/>
      <c r="D109" s="37"/>
      <c r="E109" s="37"/>
      <c r="F109" s="37"/>
      <c r="G109" s="37"/>
      <c r="H109" s="37"/>
      <c r="I109" s="37"/>
      <c r="J109" s="37" t="str">
        <f t="shared" si="14"/>
        <v/>
      </c>
      <c r="K109" s="38" t="str">
        <f t="shared" si="15"/>
        <v/>
      </c>
      <c r="L109" s="38" t="str">
        <f t="shared" si="16"/>
        <v/>
      </c>
      <c r="M109" s="33" t="str">
        <f t="shared" si="17"/>
        <v/>
      </c>
      <c r="N109" s="33" t="str">
        <f t="shared" si="18"/>
        <v/>
      </c>
      <c r="O109" s="34" t="str">
        <f t="shared" si="19"/>
        <v/>
      </c>
      <c r="P109" s="35" t="str">
        <f t="shared" si="20"/>
        <v/>
      </c>
    </row>
    <row r="110" spans="1:16" s="26" customFormat="1" ht="21.75" customHeight="1">
      <c r="A110" s="33">
        <v>97</v>
      </c>
      <c r="B110" s="36"/>
      <c r="C110" s="37"/>
      <c r="D110" s="37"/>
      <c r="E110" s="37"/>
      <c r="F110" s="37"/>
      <c r="G110" s="37"/>
      <c r="H110" s="37"/>
      <c r="I110" s="37"/>
      <c r="J110" s="37" t="str">
        <f t="shared" si="14"/>
        <v/>
      </c>
      <c r="K110" s="38" t="str">
        <f t="shared" si="15"/>
        <v/>
      </c>
      <c r="L110" s="38" t="str">
        <f t="shared" si="16"/>
        <v/>
      </c>
      <c r="M110" s="33" t="str">
        <f t="shared" si="17"/>
        <v/>
      </c>
      <c r="N110" s="33" t="str">
        <f t="shared" si="18"/>
        <v/>
      </c>
      <c r="O110" s="34" t="str">
        <f t="shared" si="19"/>
        <v/>
      </c>
      <c r="P110" s="35" t="str">
        <f t="shared" si="20"/>
        <v/>
      </c>
    </row>
    <row r="111" spans="1:16" s="26" customFormat="1" ht="21.75" customHeight="1">
      <c r="A111" s="33">
        <v>98</v>
      </c>
      <c r="B111" s="36"/>
      <c r="C111" s="37"/>
      <c r="D111" s="37"/>
      <c r="E111" s="37"/>
      <c r="F111" s="37"/>
      <c r="G111" s="37"/>
      <c r="H111" s="37"/>
      <c r="I111" s="37"/>
      <c r="J111" s="37" t="str">
        <f t="shared" si="14"/>
        <v/>
      </c>
      <c r="K111" s="38" t="str">
        <f t="shared" si="15"/>
        <v/>
      </c>
      <c r="L111" s="38" t="str">
        <f t="shared" si="16"/>
        <v/>
      </c>
      <c r="M111" s="33" t="str">
        <f t="shared" si="17"/>
        <v/>
      </c>
      <c r="N111" s="33" t="str">
        <f t="shared" si="18"/>
        <v/>
      </c>
      <c r="O111" s="34" t="str">
        <f t="shared" si="19"/>
        <v/>
      </c>
      <c r="P111" s="35" t="str">
        <f t="shared" si="20"/>
        <v/>
      </c>
    </row>
    <row r="112" spans="1:16" s="26" customFormat="1" ht="21.75" customHeight="1">
      <c r="A112" s="33">
        <v>99</v>
      </c>
      <c r="B112" s="36"/>
      <c r="C112" s="37"/>
      <c r="D112" s="37"/>
      <c r="E112" s="37"/>
      <c r="F112" s="37"/>
      <c r="G112" s="37"/>
      <c r="H112" s="37"/>
      <c r="I112" s="37"/>
      <c r="J112" s="37" t="str">
        <f t="shared" si="14"/>
        <v/>
      </c>
      <c r="K112" s="38" t="str">
        <f t="shared" si="15"/>
        <v/>
      </c>
      <c r="L112" s="38" t="str">
        <f t="shared" si="16"/>
        <v/>
      </c>
      <c r="M112" s="33" t="str">
        <f t="shared" si="17"/>
        <v/>
      </c>
      <c r="N112" s="33" t="str">
        <f t="shared" si="18"/>
        <v/>
      </c>
      <c r="O112" s="34" t="str">
        <f t="shared" si="19"/>
        <v/>
      </c>
      <c r="P112" s="35" t="str">
        <f t="shared" si="20"/>
        <v/>
      </c>
    </row>
    <row r="113" spans="1:16" s="26" customFormat="1" ht="21.75" customHeight="1">
      <c r="A113" s="33">
        <v>100</v>
      </c>
      <c r="B113" s="36"/>
      <c r="C113" s="37"/>
      <c r="D113" s="37"/>
      <c r="E113" s="37"/>
      <c r="F113" s="37"/>
      <c r="G113" s="37"/>
      <c r="H113" s="37"/>
      <c r="I113" s="37"/>
      <c r="J113" s="37" t="str">
        <f t="shared" si="14"/>
        <v/>
      </c>
      <c r="K113" s="38" t="str">
        <f t="shared" si="15"/>
        <v/>
      </c>
      <c r="L113" s="38" t="str">
        <f t="shared" si="16"/>
        <v/>
      </c>
      <c r="M113" s="33" t="str">
        <f t="shared" si="17"/>
        <v/>
      </c>
      <c r="N113" s="33" t="str">
        <f t="shared" si="18"/>
        <v/>
      </c>
      <c r="O113" s="34" t="str">
        <f t="shared" si="19"/>
        <v/>
      </c>
      <c r="P113" s="35" t="str">
        <f t="shared" si="20"/>
        <v/>
      </c>
    </row>
    <row r="114" spans="1:16" s="26" customFormat="1" ht="1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</row>
    <row r="115" spans="1:16" s="26" customFormat="1" ht="1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</row>
    <row r="116" spans="1:16" s="26" customFormat="1" ht="15" customHeight="1">
      <c r="A116" s="117" t="s">
        <v>58</v>
      </c>
      <c r="B116" s="117"/>
      <c r="C116" s="117"/>
      <c r="D116" s="117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</row>
    <row r="117" spans="1:16" s="26" customFormat="1" ht="15" customHeight="1">
      <c r="A117" s="40" t="s">
        <v>3</v>
      </c>
      <c r="B117" s="40" t="s">
        <v>4</v>
      </c>
      <c r="C117" s="40">
        <v>5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</row>
    <row r="118" spans="1:16" s="26" customFormat="1" ht="15" customHeight="1">
      <c r="A118" s="40" t="s">
        <v>6</v>
      </c>
      <c r="B118" s="40" t="s">
        <v>7</v>
      </c>
      <c r="C118" s="40">
        <v>4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</row>
    <row r="119" spans="1:16" s="26" customFormat="1" ht="15" customHeight="1">
      <c r="A119" s="40" t="s">
        <v>59</v>
      </c>
      <c r="B119" s="40" t="s">
        <v>9</v>
      </c>
      <c r="C119" s="40">
        <v>3.5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</row>
    <row r="120" spans="1:16" s="26" customFormat="1" ht="15" customHeight="1">
      <c r="A120" s="40" t="s">
        <v>60</v>
      </c>
      <c r="B120" s="40" t="s">
        <v>11</v>
      </c>
      <c r="C120" s="40">
        <v>3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</row>
    <row r="121" spans="1:16" s="26" customFormat="1" ht="15" customHeight="1">
      <c r="A121" s="40" t="s">
        <v>61</v>
      </c>
      <c r="B121" s="40" t="s">
        <v>13</v>
      </c>
      <c r="C121" s="40">
        <v>2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</row>
    <row r="122" spans="1:16" s="26" customFormat="1" ht="15" customHeight="1">
      <c r="A122" s="40" t="s">
        <v>62</v>
      </c>
      <c r="B122" s="40" t="s">
        <v>15</v>
      </c>
      <c r="C122" s="40">
        <v>1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</row>
    <row r="123" spans="1:16" s="26" customFormat="1" ht="15" customHeight="1">
      <c r="A123" s="40" t="s">
        <v>17</v>
      </c>
      <c r="B123" s="40" t="s">
        <v>18</v>
      </c>
      <c r="C123" s="40">
        <v>0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</row>
    <row r="124" spans="1:16" s="26" customFormat="1" ht="15" customHeight="1">
      <c r="A124" s="118" t="s">
        <v>63</v>
      </c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39"/>
      <c r="P124" s="39"/>
    </row>
    <row r="125" spans="1:16" s="26" customFormat="1" ht="1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</row>
  </sheetData>
  <mergeCells count="9">
    <mergeCell ref="A116:D116"/>
    <mergeCell ref="A124:N124"/>
    <mergeCell ref="L1:N1"/>
    <mergeCell ref="L4:N4"/>
    <mergeCell ref="C6:K7"/>
    <mergeCell ref="A10:B11"/>
    <mergeCell ref="D10:F11"/>
    <mergeCell ref="G10:G11"/>
    <mergeCell ref="H10:J11"/>
  </mergeCells>
  <conditionalFormatting sqref="N14:N24">
    <cfRule type="cellIs" dxfId="12" priority="2" operator="equal">
      <formula>"ফেল"</formula>
    </cfRule>
  </conditionalFormatting>
  <conditionalFormatting sqref="M25:M113">
    <cfRule type="cellIs" dxfId="11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topLeftCell="A3" zoomScale="85" zoomScaleNormal="85" workbookViewId="0">
      <selection activeCell="F13" sqref="F13"/>
    </sheetView>
  </sheetViews>
  <sheetFormatPr defaultColWidth="8.7109375" defaultRowHeight="15" customHeight="1"/>
  <cols>
    <col min="1" max="1" width="6.85546875" style="1" customWidth="1"/>
    <col min="2" max="2" width="27.5703125" style="1" customWidth="1"/>
    <col min="3" max="3" width="11.28515625" style="1" customWidth="1"/>
    <col min="4" max="4" width="11.42578125" style="1" customWidth="1"/>
    <col min="5" max="5" width="12.42578125" style="1" customWidth="1"/>
    <col min="6" max="7" width="11.7109375" style="1" customWidth="1"/>
    <col min="8" max="8" width="14.85546875" style="1" customWidth="1"/>
    <col min="9" max="9" width="12.5703125" style="1" customWidth="1"/>
    <col min="10" max="10" width="14.85546875" style="1" customWidth="1"/>
    <col min="11" max="11" width="14" style="1" customWidth="1"/>
    <col min="12" max="12" width="12.140625" style="1" customWidth="1"/>
    <col min="13" max="13" width="11.5703125" style="1" customWidth="1"/>
    <col min="14" max="14" width="11.7109375" style="1" customWidth="1"/>
    <col min="15" max="15" width="10" style="1" hidden="1" customWidth="1"/>
    <col min="16" max="16" width="13" style="1" hidden="1" customWidth="1"/>
  </cols>
  <sheetData>
    <row r="1" spans="1:19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119"/>
      <c r="M1" s="119"/>
      <c r="N1" s="119"/>
    </row>
    <row r="2" spans="1:19" ht="8.25" hidden="1" customHeight="1">
      <c r="A2" s="2"/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5"/>
    </row>
    <row r="3" spans="1:19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4"/>
      <c r="M3" s="4"/>
      <c r="N3" s="4"/>
    </row>
    <row r="4" spans="1:19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20" t="s">
        <v>2</v>
      </c>
      <c r="M4" s="120"/>
      <c r="N4" s="120"/>
    </row>
    <row r="5" spans="1:19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6" t="s">
        <v>3</v>
      </c>
      <c r="M5" s="6" t="s">
        <v>4</v>
      </c>
      <c r="N5" s="6">
        <v>5</v>
      </c>
    </row>
    <row r="6" spans="1:19" ht="21" customHeight="1">
      <c r="A6" s="2"/>
      <c r="B6" s="2"/>
      <c r="C6" s="216" t="s">
        <v>203</v>
      </c>
      <c r="D6" s="121"/>
      <c r="E6" s="121"/>
      <c r="F6" s="121"/>
      <c r="G6" s="121"/>
      <c r="H6" s="121"/>
      <c r="I6" s="121"/>
      <c r="J6" s="121"/>
      <c r="K6" s="121"/>
      <c r="L6" s="8" t="s">
        <v>6</v>
      </c>
      <c r="M6" s="9" t="s">
        <v>7</v>
      </c>
      <c r="N6" s="10">
        <v>4</v>
      </c>
    </row>
    <row r="7" spans="1:19" ht="21" customHeight="1">
      <c r="A7" s="2"/>
      <c r="B7" s="2"/>
      <c r="C7" s="121"/>
      <c r="D7" s="121"/>
      <c r="E7" s="121"/>
      <c r="F7" s="121"/>
      <c r="G7" s="121"/>
      <c r="H7" s="121"/>
      <c r="I7" s="121"/>
      <c r="J7" s="121"/>
      <c r="K7" s="121"/>
      <c r="L7" s="11" t="s">
        <v>8</v>
      </c>
      <c r="M7" s="6" t="s">
        <v>9</v>
      </c>
      <c r="N7" s="12">
        <v>3.5</v>
      </c>
    </row>
    <row r="8" spans="1:19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1" t="s">
        <v>10</v>
      </c>
      <c r="M8" s="6" t="s">
        <v>11</v>
      </c>
      <c r="N8" s="12">
        <v>3</v>
      </c>
    </row>
    <row r="9" spans="1:19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1" t="s">
        <v>12</v>
      </c>
      <c r="M9" s="6" t="s">
        <v>13</v>
      </c>
      <c r="N9" s="12">
        <v>2</v>
      </c>
    </row>
    <row r="10" spans="1:19" ht="21" customHeight="1">
      <c r="A10" s="122"/>
      <c r="B10" s="122"/>
      <c r="C10" s="13"/>
      <c r="D10" s="123"/>
      <c r="E10" s="123"/>
      <c r="F10" s="123"/>
      <c r="G10" s="124"/>
      <c r="H10" s="125"/>
      <c r="I10" s="125"/>
      <c r="J10" s="125"/>
      <c r="K10" s="14"/>
      <c r="L10" s="11" t="s">
        <v>14</v>
      </c>
      <c r="M10" s="6" t="s">
        <v>15</v>
      </c>
      <c r="N10" s="12">
        <v>1</v>
      </c>
      <c r="Q10" t="s">
        <v>16</v>
      </c>
    </row>
    <row r="11" spans="1:19" ht="21" customHeight="1">
      <c r="A11" s="122"/>
      <c r="B11" s="122"/>
      <c r="C11" s="13"/>
      <c r="D11" s="123"/>
      <c r="E11" s="123"/>
      <c r="F11" s="123"/>
      <c r="G11" s="124"/>
      <c r="H11" s="125"/>
      <c r="I11" s="125"/>
      <c r="J11" s="125"/>
      <c r="K11" s="14"/>
      <c r="L11" s="15" t="s">
        <v>17</v>
      </c>
      <c r="M11" s="16" t="s">
        <v>18</v>
      </c>
      <c r="N11" s="17">
        <v>0</v>
      </c>
    </row>
    <row r="12" spans="1:19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9" s="19" customFormat="1" ht="60.75" customHeight="1">
      <c r="A13" s="139" t="s">
        <v>19</v>
      </c>
      <c r="B13" s="142" t="s">
        <v>20</v>
      </c>
      <c r="C13" s="197" t="s">
        <v>100</v>
      </c>
      <c r="D13" s="198" t="s">
        <v>97</v>
      </c>
      <c r="E13" s="197" t="s">
        <v>98</v>
      </c>
      <c r="F13" s="198" t="s">
        <v>99</v>
      </c>
      <c r="G13" s="197" t="s">
        <v>113</v>
      </c>
      <c r="H13" s="198" t="s">
        <v>101</v>
      </c>
      <c r="I13" s="197" t="s">
        <v>25</v>
      </c>
      <c r="J13" s="142" t="s">
        <v>29</v>
      </c>
      <c r="K13" s="141" t="s">
        <v>30</v>
      </c>
      <c r="L13" s="142" t="s">
        <v>31</v>
      </c>
      <c r="M13" s="141" t="s">
        <v>32</v>
      </c>
      <c r="N13" s="143" t="s">
        <v>33</v>
      </c>
    </row>
    <row r="14" spans="1:19" ht="30" customHeight="1">
      <c r="A14" s="196">
        <v>1</v>
      </c>
      <c r="B14" s="138" t="s">
        <v>114</v>
      </c>
      <c r="C14" s="200">
        <v>84</v>
      </c>
      <c r="D14" s="201">
        <v>60</v>
      </c>
      <c r="E14" s="201">
        <v>65</v>
      </c>
      <c r="F14" s="201">
        <v>54</v>
      </c>
      <c r="G14" s="201">
        <v>67</v>
      </c>
      <c r="H14" s="201">
        <v>40</v>
      </c>
      <c r="I14" s="201">
        <v>33</v>
      </c>
      <c r="J14" s="146">
        <f t="shared" ref="J14:J45" si="0">IF($B14="","",IF(COUNT(C14:I14)=0,"",SUM(C14:I14)))</f>
        <v>403</v>
      </c>
      <c r="K14" s="147">
        <f t="shared" ref="K14:K45" si="1">IF($B14="","",IF(COUNT(C14:I14)=0,"",ROUND(SUM(C14:I14)/COLUMNS(C14:I14),2)))</f>
        <v>57.57</v>
      </c>
      <c r="L14" s="21">
        <f t="shared" ref="L14:L45" si="2">IF($B14="","",IF(COUNT(C14:I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)/COLUMNS(C14:I14),2)))</f>
        <v>3.07</v>
      </c>
      <c r="M14" s="22" t="str">
        <f t="shared" ref="M14:M45" si="3">IF($B14="","",IF(L14="","",IF(L14=0,"Fail",IF(L14=5,"A+",IF(L14&gt;=4,"A",IF(L14&gt;=3.5,"A-",IF(L14&gt;=3,"B",IF(L14&gt;=2,"C",IF(L14&gt;=1,"D","F")))))))))</f>
        <v>B</v>
      </c>
      <c r="N14" s="148" t="str">
        <f t="shared" ref="N14:N45" si="4">IF($B14="","",IF($O14="","",IF($O14=1,"1g",IF($O14=2,"2q",IF($O14=3,"3q",$O14)))))</f>
        <v>3q</v>
      </c>
      <c r="O14" s="24">
        <f t="shared" ref="O14:O45" si="5">IF($B14="","",IF(OR($M14="ফেল",$M14="অনুপস্থিত",$M14="অসম্পূর্ণ"),"",1+SUMPRODUCT(($P$14:$P$63&lt;&gt;"")*($P$14:$P$63&gt;P14)/COUNTIF($P$14:$P$63,$P$14:$P$63))))</f>
        <v>3</v>
      </c>
      <c r="P14" s="25">
        <f t="shared" ref="P14:P45" si="6">IF($B14="","",K14)</f>
        <v>57.57</v>
      </c>
    </row>
    <row r="15" spans="1:19" ht="30" customHeight="1">
      <c r="A15" s="196">
        <v>2</v>
      </c>
      <c r="B15" s="138" t="s">
        <v>115</v>
      </c>
      <c r="C15" s="145">
        <v>80</v>
      </c>
      <c r="D15" s="146">
        <v>78</v>
      </c>
      <c r="E15" s="146">
        <v>51</v>
      </c>
      <c r="F15" s="146">
        <v>60</v>
      </c>
      <c r="G15" s="146">
        <v>83</v>
      </c>
      <c r="H15" s="146">
        <v>35</v>
      </c>
      <c r="I15" s="146">
        <v>55</v>
      </c>
      <c r="J15" s="146">
        <f t="shared" si="0"/>
        <v>442</v>
      </c>
      <c r="K15" s="147">
        <f t="shared" si="1"/>
        <v>63.14</v>
      </c>
      <c r="L15" s="21">
        <f t="shared" si="2"/>
        <v>3.5</v>
      </c>
      <c r="M15" s="22" t="str">
        <f t="shared" si="3"/>
        <v>A-</v>
      </c>
      <c r="N15" s="148" t="str">
        <f t="shared" si="4"/>
        <v>2q</v>
      </c>
      <c r="O15" s="24">
        <f t="shared" si="5"/>
        <v>2</v>
      </c>
      <c r="P15" s="25">
        <f t="shared" si="6"/>
        <v>63.14</v>
      </c>
    </row>
    <row r="16" spans="1:19" ht="30" customHeight="1">
      <c r="A16" s="196">
        <v>3</v>
      </c>
      <c r="B16" s="138" t="s">
        <v>116</v>
      </c>
      <c r="C16" s="145">
        <v>50</v>
      </c>
      <c r="D16" s="146">
        <v>44</v>
      </c>
      <c r="E16" s="146">
        <v>33</v>
      </c>
      <c r="F16" s="146">
        <v>40</v>
      </c>
      <c r="G16" s="146">
        <v>38</v>
      </c>
      <c r="H16" s="149">
        <v>35</v>
      </c>
      <c r="I16" s="146">
        <v>33</v>
      </c>
      <c r="J16" s="146">
        <f t="shared" si="0"/>
        <v>273</v>
      </c>
      <c r="K16" s="147">
        <f t="shared" si="1"/>
        <v>39</v>
      </c>
      <c r="L16" s="21">
        <f t="shared" si="2"/>
        <v>1.57</v>
      </c>
      <c r="M16" s="22" t="str">
        <f t="shared" si="3"/>
        <v>D</v>
      </c>
      <c r="N16" s="148">
        <f t="shared" si="4"/>
        <v>5</v>
      </c>
      <c r="O16" s="24">
        <f t="shared" si="5"/>
        <v>5</v>
      </c>
      <c r="P16" s="25">
        <f t="shared" si="6"/>
        <v>39</v>
      </c>
      <c r="S16" s="26"/>
    </row>
    <row r="17" spans="1:16" ht="30" customHeight="1">
      <c r="A17" s="196">
        <v>4</v>
      </c>
      <c r="B17" s="138" t="s">
        <v>117</v>
      </c>
      <c r="C17" s="145">
        <v>78</v>
      </c>
      <c r="D17" s="146">
        <v>50</v>
      </c>
      <c r="E17" s="146">
        <v>33</v>
      </c>
      <c r="F17" s="146">
        <v>42</v>
      </c>
      <c r="G17" s="146">
        <v>57</v>
      </c>
      <c r="H17" s="146">
        <v>33</v>
      </c>
      <c r="I17" s="146">
        <v>33</v>
      </c>
      <c r="J17" s="146">
        <f t="shared" si="0"/>
        <v>326</v>
      </c>
      <c r="K17" s="147">
        <f t="shared" si="1"/>
        <v>46.57</v>
      </c>
      <c r="L17" s="21">
        <f t="shared" si="2"/>
        <v>2.14</v>
      </c>
      <c r="M17" s="22" t="str">
        <f t="shared" si="3"/>
        <v>C</v>
      </c>
      <c r="N17" s="148">
        <f t="shared" si="4"/>
        <v>4</v>
      </c>
      <c r="O17" s="24">
        <f t="shared" si="5"/>
        <v>4</v>
      </c>
      <c r="P17" s="25">
        <f t="shared" si="6"/>
        <v>46.57</v>
      </c>
    </row>
    <row r="18" spans="1:16" ht="30" customHeight="1" thickBot="1">
      <c r="A18" s="199">
        <v>5</v>
      </c>
      <c r="B18" s="138" t="s">
        <v>189</v>
      </c>
      <c r="C18" s="152">
        <v>95</v>
      </c>
      <c r="D18" s="153">
        <v>90</v>
      </c>
      <c r="E18" s="153">
        <v>94</v>
      </c>
      <c r="F18" s="153">
        <v>80</v>
      </c>
      <c r="G18" s="153">
        <v>92</v>
      </c>
      <c r="H18" s="153">
        <v>85</v>
      </c>
      <c r="I18" s="153">
        <v>83</v>
      </c>
      <c r="J18" s="153">
        <f t="shared" si="0"/>
        <v>619</v>
      </c>
      <c r="K18" s="147">
        <f t="shared" si="1"/>
        <v>88.43</v>
      </c>
      <c r="L18" s="21">
        <f t="shared" si="2"/>
        <v>5</v>
      </c>
      <c r="M18" s="22" t="str">
        <f t="shared" si="3"/>
        <v>A+</v>
      </c>
      <c r="N18" s="148" t="str">
        <f t="shared" si="4"/>
        <v>1g</v>
      </c>
      <c r="O18" s="24">
        <f t="shared" si="5"/>
        <v>1</v>
      </c>
      <c r="P18" s="25">
        <f t="shared" si="6"/>
        <v>88.43</v>
      </c>
    </row>
    <row r="19" spans="1:16" ht="30" customHeight="1">
      <c r="A19" s="78"/>
      <c r="B19" s="79"/>
      <c r="C19" s="80"/>
      <c r="D19" s="80"/>
      <c r="E19" s="80"/>
      <c r="F19" s="80"/>
      <c r="G19" s="80"/>
      <c r="H19" s="80"/>
      <c r="I19" s="80"/>
      <c r="J19" s="80" t="str">
        <f t="shared" si="0"/>
        <v/>
      </c>
      <c r="K19" s="80" t="str">
        <f t="shared" si="1"/>
        <v/>
      </c>
      <c r="L19" s="81" t="str">
        <f t="shared" si="2"/>
        <v/>
      </c>
      <c r="M19" s="82" t="str">
        <f t="shared" si="3"/>
        <v/>
      </c>
      <c r="N19" s="78" t="str">
        <f t="shared" si="4"/>
        <v/>
      </c>
      <c r="O19" s="24" t="str">
        <f t="shared" si="5"/>
        <v/>
      </c>
      <c r="P19" s="25" t="str">
        <f t="shared" si="6"/>
        <v/>
      </c>
    </row>
    <row r="20" spans="1:16" ht="30" customHeight="1">
      <c r="A20" s="78"/>
      <c r="B20" s="79"/>
      <c r="C20" s="80"/>
      <c r="D20" s="80"/>
      <c r="E20" s="80"/>
      <c r="F20" s="80"/>
      <c r="G20" s="80"/>
      <c r="H20" s="80"/>
      <c r="I20" s="80"/>
      <c r="J20" s="80" t="str">
        <f t="shared" si="0"/>
        <v/>
      </c>
      <c r="K20" s="80" t="str">
        <f t="shared" si="1"/>
        <v/>
      </c>
      <c r="L20" s="81" t="str">
        <f t="shared" si="2"/>
        <v/>
      </c>
      <c r="M20" s="82" t="str">
        <f t="shared" si="3"/>
        <v/>
      </c>
      <c r="N20" s="78" t="str">
        <f t="shared" si="4"/>
        <v/>
      </c>
      <c r="O20" s="24" t="str">
        <f t="shared" si="5"/>
        <v/>
      </c>
      <c r="P20" s="25" t="str">
        <f t="shared" si="6"/>
        <v/>
      </c>
    </row>
    <row r="21" spans="1:16" ht="30" customHeight="1">
      <c r="A21" s="78"/>
      <c r="B21" s="79"/>
      <c r="C21" s="80"/>
      <c r="D21" s="80"/>
      <c r="E21" s="80"/>
      <c r="F21" s="80"/>
      <c r="G21" s="80"/>
      <c r="H21" s="80"/>
      <c r="I21" s="80"/>
      <c r="J21" s="80" t="str">
        <f t="shared" si="0"/>
        <v/>
      </c>
      <c r="K21" s="80" t="str">
        <f t="shared" si="1"/>
        <v/>
      </c>
      <c r="L21" s="81" t="str">
        <f t="shared" si="2"/>
        <v/>
      </c>
      <c r="M21" s="82" t="str">
        <f t="shared" si="3"/>
        <v/>
      </c>
      <c r="N21" s="78" t="str">
        <f t="shared" si="4"/>
        <v/>
      </c>
      <c r="O21" s="24" t="str">
        <f t="shared" si="5"/>
        <v/>
      </c>
      <c r="P21" s="25" t="str">
        <f t="shared" si="6"/>
        <v/>
      </c>
    </row>
    <row r="22" spans="1:16" ht="30" customHeight="1">
      <c r="A22" s="78"/>
      <c r="B22" s="79"/>
      <c r="C22" s="80"/>
      <c r="D22" s="80"/>
      <c r="E22" s="80"/>
      <c r="F22" s="80"/>
      <c r="G22" s="80"/>
      <c r="H22" s="80"/>
      <c r="I22" s="80"/>
      <c r="J22" s="80" t="str">
        <f t="shared" si="0"/>
        <v/>
      </c>
      <c r="K22" s="80" t="str">
        <f t="shared" si="1"/>
        <v/>
      </c>
      <c r="L22" s="81" t="str">
        <f t="shared" si="2"/>
        <v/>
      </c>
      <c r="M22" s="82" t="str">
        <f t="shared" si="3"/>
        <v/>
      </c>
      <c r="N22" s="78" t="str">
        <f t="shared" si="4"/>
        <v/>
      </c>
      <c r="O22" s="24" t="str">
        <f t="shared" si="5"/>
        <v/>
      </c>
      <c r="P22" s="25" t="str">
        <f t="shared" si="6"/>
        <v/>
      </c>
    </row>
    <row r="23" spans="1:16" ht="30" customHeight="1">
      <c r="A23" s="78"/>
      <c r="B23" s="79"/>
      <c r="C23" s="80"/>
      <c r="D23" s="80"/>
      <c r="E23" s="80"/>
      <c r="F23" s="80"/>
      <c r="G23" s="80"/>
      <c r="H23" s="80"/>
      <c r="I23" s="80"/>
      <c r="J23" s="80" t="str">
        <f t="shared" si="0"/>
        <v/>
      </c>
      <c r="K23" s="80" t="str">
        <f t="shared" si="1"/>
        <v/>
      </c>
      <c r="L23" s="81" t="str">
        <f t="shared" si="2"/>
        <v/>
      </c>
      <c r="M23" s="82" t="str">
        <f t="shared" si="3"/>
        <v/>
      </c>
      <c r="N23" s="78" t="str">
        <f t="shared" si="4"/>
        <v/>
      </c>
      <c r="O23" s="24" t="str">
        <f t="shared" si="5"/>
        <v/>
      </c>
      <c r="P23" s="25" t="str">
        <f t="shared" si="6"/>
        <v/>
      </c>
    </row>
    <row r="24" spans="1:16" ht="30" customHeight="1">
      <c r="A24" s="78"/>
      <c r="B24" s="79"/>
      <c r="C24" s="80"/>
      <c r="D24" s="80"/>
      <c r="E24" s="80"/>
      <c r="F24" s="80"/>
      <c r="G24" s="80"/>
      <c r="H24" s="80"/>
      <c r="I24" s="80"/>
      <c r="J24" s="80" t="str">
        <f t="shared" si="0"/>
        <v/>
      </c>
      <c r="K24" s="80" t="str">
        <f t="shared" si="1"/>
        <v/>
      </c>
      <c r="L24" s="81" t="str">
        <f t="shared" si="2"/>
        <v/>
      </c>
      <c r="M24" s="82" t="str">
        <f t="shared" si="3"/>
        <v/>
      </c>
      <c r="N24" s="78" t="str">
        <f t="shared" si="4"/>
        <v/>
      </c>
      <c r="O24" s="24" t="str">
        <f t="shared" si="5"/>
        <v/>
      </c>
      <c r="P24" s="25" t="str">
        <f t="shared" si="6"/>
        <v/>
      </c>
    </row>
    <row r="25" spans="1:16" ht="30" customHeight="1">
      <c r="A25" s="78"/>
      <c r="B25" s="79"/>
      <c r="C25" s="80"/>
      <c r="D25" s="80"/>
      <c r="E25" s="80"/>
      <c r="F25" s="80"/>
      <c r="G25" s="80"/>
      <c r="H25" s="80"/>
      <c r="I25" s="80"/>
      <c r="J25" s="80" t="str">
        <f t="shared" si="0"/>
        <v/>
      </c>
      <c r="K25" s="80" t="str">
        <f t="shared" si="1"/>
        <v/>
      </c>
      <c r="L25" s="81" t="str">
        <f t="shared" si="2"/>
        <v/>
      </c>
      <c r="M25" s="82" t="str">
        <f t="shared" si="3"/>
        <v/>
      </c>
      <c r="N25" s="78" t="str">
        <f t="shared" si="4"/>
        <v/>
      </c>
      <c r="O25" s="24" t="str">
        <f t="shared" si="5"/>
        <v/>
      </c>
      <c r="P25" s="25" t="str">
        <f t="shared" si="6"/>
        <v/>
      </c>
    </row>
    <row r="26" spans="1:16" ht="30" customHeight="1">
      <c r="A26" s="78"/>
      <c r="B26" s="79"/>
      <c r="C26" s="80"/>
      <c r="D26" s="80"/>
      <c r="E26" s="80"/>
      <c r="F26" s="80"/>
      <c r="G26" s="80"/>
      <c r="H26" s="80"/>
      <c r="I26" s="80"/>
      <c r="J26" s="80" t="str">
        <f t="shared" si="0"/>
        <v/>
      </c>
      <c r="K26" s="80" t="str">
        <f t="shared" si="1"/>
        <v/>
      </c>
      <c r="L26" s="81" t="str">
        <f t="shared" si="2"/>
        <v/>
      </c>
      <c r="M26" s="82" t="str">
        <f t="shared" si="3"/>
        <v/>
      </c>
      <c r="N26" s="78" t="str">
        <f t="shared" si="4"/>
        <v/>
      </c>
      <c r="O26" s="24" t="str">
        <f t="shared" si="5"/>
        <v/>
      </c>
      <c r="P26" s="25" t="str">
        <f t="shared" si="6"/>
        <v/>
      </c>
    </row>
    <row r="27" spans="1:16" ht="30" customHeight="1">
      <c r="A27" s="78"/>
      <c r="B27" s="79"/>
      <c r="C27" s="80"/>
      <c r="D27" s="80"/>
      <c r="E27" s="80"/>
      <c r="F27" s="80"/>
      <c r="G27" s="80"/>
      <c r="H27" s="80"/>
      <c r="I27" s="80"/>
      <c r="J27" s="80" t="str">
        <f t="shared" si="0"/>
        <v/>
      </c>
      <c r="K27" s="80" t="str">
        <f t="shared" si="1"/>
        <v/>
      </c>
      <c r="L27" s="81" t="str">
        <f t="shared" si="2"/>
        <v/>
      </c>
      <c r="M27" s="82" t="str">
        <f t="shared" si="3"/>
        <v/>
      </c>
      <c r="N27" s="78" t="str">
        <f t="shared" si="4"/>
        <v/>
      </c>
      <c r="O27" s="24" t="str">
        <f t="shared" si="5"/>
        <v/>
      </c>
      <c r="P27" s="25" t="str">
        <f t="shared" si="6"/>
        <v/>
      </c>
    </row>
    <row r="28" spans="1:16" ht="30" customHeight="1">
      <c r="A28" s="78"/>
      <c r="B28" s="79"/>
      <c r="C28" s="80"/>
      <c r="D28" s="80"/>
      <c r="E28" s="80"/>
      <c r="F28" s="80"/>
      <c r="G28" s="80"/>
      <c r="H28" s="80"/>
      <c r="I28" s="80"/>
      <c r="J28" s="80" t="str">
        <f t="shared" si="0"/>
        <v/>
      </c>
      <c r="K28" s="80" t="str">
        <f t="shared" si="1"/>
        <v/>
      </c>
      <c r="L28" s="81" t="str">
        <f t="shared" si="2"/>
        <v/>
      </c>
      <c r="M28" s="82" t="str">
        <f t="shared" si="3"/>
        <v/>
      </c>
      <c r="N28" s="78" t="str">
        <f t="shared" si="4"/>
        <v/>
      </c>
      <c r="O28" s="24" t="str">
        <f t="shared" si="5"/>
        <v/>
      </c>
      <c r="P28" s="25" t="str">
        <f t="shared" si="6"/>
        <v/>
      </c>
    </row>
    <row r="29" spans="1:16" ht="30" customHeight="1">
      <c r="A29" s="78"/>
      <c r="B29" s="79"/>
      <c r="C29" s="80"/>
      <c r="D29" s="80"/>
      <c r="E29" s="80"/>
      <c r="F29" s="80"/>
      <c r="G29" s="80"/>
      <c r="H29" s="80"/>
      <c r="I29" s="80"/>
      <c r="J29" s="80" t="str">
        <f t="shared" si="0"/>
        <v/>
      </c>
      <c r="K29" s="80" t="str">
        <f t="shared" si="1"/>
        <v/>
      </c>
      <c r="L29" s="81" t="str">
        <f t="shared" si="2"/>
        <v/>
      </c>
      <c r="M29" s="82" t="str">
        <f t="shared" si="3"/>
        <v/>
      </c>
      <c r="N29" s="78" t="str">
        <f t="shared" si="4"/>
        <v/>
      </c>
      <c r="O29" s="24" t="str">
        <f t="shared" si="5"/>
        <v/>
      </c>
      <c r="P29" s="25" t="str">
        <f t="shared" si="6"/>
        <v/>
      </c>
    </row>
    <row r="30" spans="1:16" ht="30" customHeight="1">
      <c r="A30" s="78"/>
      <c r="B30" s="79"/>
      <c r="C30" s="80"/>
      <c r="D30" s="80"/>
      <c r="E30" s="80"/>
      <c r="F30" s="80"/>
      <c r="G30" s="80"/>
      <c r="H30" s="80"/>
      <c r="I30" s="80"/>
      <c r="J30" s="80" t="str">
        <f t="shared" si="0"/>
        <v/>
      </c>
      <c r="K30" s="80" t="str">
        <f t="shared" si="1"/>
        <v/>
      </c>
      <c r="L30" s="81" t="str">
        <f t="shared" si="2"/>
        <v/>
      </c>
      <c r="M30" s="82" t="str">
        <f t="shared" si="3"/>
        <v/>
      </c>
      <c r="N30" s="78" t="str">
        <f t="shared" si="4"/>
        <v/>
      </c>
      <c r="O30" s="24" t="str">
        <f t="shared" si="5"/>
        <v/>
      </c>
      <c r="P30" s="25" t="str">
        <f t="shared" si="6"/>
        <v/>
      </c>
    </row>
    <row r="31" spans="1:16" ht="30" customHeight="1">
      <c r="A31" s="78"/>
      <c r="B31" s="79"/>
      <c r="C31" s="80"/>
      <c r="D31" s="80"/>
      <c r="E31" s="80"/>
      <c r="F31" s="80"/>
      <c r="G31" s="80"/>
      <c r="H31" s="80"/>
      <c r="I31" s="80"/>
      <c r="J31" s="80" t="str">
        <f t="shared" si="0"/>
        <v/>
      </c>
      <c r="K31" s="80" t="str">
        <f t="shared" si="1"/>
        <v/>
      </c>
      <c r="L31" s="81" t="str">
        <f t="shared" si="2"/>
        <v/>
      </c>
      <c r="M31" s="82" t="str">
        <f t="shared" si="3"/>
        <v/>
      </c>
      <c r="N31" s="78" t="str">
        <f t="shared" si="4"/>
        <v/>
      </c>
      <c r="O31" s="24" t="str">
        <f t="shared" si="5"/>
        <v/>
      </c>
      <c r="P31" s="25" t="str">
        <f t="shared" si="6"/>
        <v/>
      </c>
    </row>
    <row r="32" spans="1:16" ht="30" customHeight="1">
      <c r="A32" s="78"/>
      <c r="B32" s="79"/>
      <c r="C32" s="80"/>
      <c r="D32" s="80"/>
      <c r="E32" s="80"/>
      <c r="F32" s="80"/>
      <c r="G32" s="80"/>
      <c r="H32" s="80"/>
      <c r="I32" s="80"/>
      <c r="J32" s="80" t="str">
        <f t="shared" si="0"/>
        <v/>
      </c>
      <c r="K32" s="80" t="str">
        <f t="shared" si="1"/>
        <v/>
      </c>
      <c r="L32" s="81" t="str">
        <f t="shared" si="2"/>
        <v/>
      </c>
      <c r="M32" s="82" t="str">
        <f t="shared" si="3"/>
        <v/>
      </c>
      <c r="N32" s="78" t="str">
        <f t="shared" si="4"/>
        <v/>
      </c>
      <c r="O32" s="24" t="str">
        <f t="shared" si="5"/>
        <v/>
      </c>
      <c r="P32" s="25" t="str">
        <f t="shared" si="6"/>
        <v/>
      </c>
    </row>
    <row r="33" spans="1:16" ht="30" customHeight="1">
      <c r="A33" s="78"/>
      <c r="B33" s="79"/>
      <c r="C33" s="80"/>
      <c r="D33" s="80"/>
      <c r="E33" s="80"/>
      <c r="F33" s="80"/>
      <c r="G33" s="80"/>
      <c r="H33" s="80"/>
      <c r="I33" s="80"/>
      <c r="J33" s="80" t="str">
        <f t="shared" si="0"/>
        <v/>
      </c>
      <c r="K33" s="80" t="str">
        <f t="shared" si="1"/>
        <v/>
      </c>
      <c r="L33" s="81" t="str">
        <f t="shared" si="2"/>
        <v/>
      </c>
      <c r="M33" s="82" t="str">
        <f t="shared" si="3"/>
        <v/>
      </c>
      <c r="N33" s="78" t="str">
        <f t="shared" si="4"/>
        <v/>
      </c>
      <c r="O33" s="24" t="str">
        <f t="shared" si="5"/>
        <v/>
      </c>
      <c r="P33" s="25" t="str">
        <f t="shared" si="6"/>
        <v/>
      </c>
    </row>
    <row r="34" spans="1:16" ht="30" customHeight="1">
      <c r="A34" s="78"/>
      <c r="B34" s="79"/>
      <c r="C34" s="80"/>
      <c r="D34" s="80"/>
      <c r="E34" s="80"/>
      <c r="F34" s="80"/>
      <c r="G34" s="80"/>
      <c r="H34" s="80"/>
      <c r="I34" s="80"/>
      <c r="J34" s="80" t="str">
        <f t="shared" si="0"/>
        <v/>
      </c>
      <c r="K34" s="80" t="str">
        <f t="shared" si="1"/>
        <v/>
      </c>
      <c r="L34" s="81" t="str">
        <f t="shared" si="2"/>
        <v/>
      </c>
      <c r="M34" s="82" t="str">
        <f t="shared" si="3"/>
        <v/>
      </c>
      <c r="N34" s="78" t="str">
        <f t="shared" si="4"/>
        <v/>
      </c>
      <c r="O34" s="24" t="str">
        <f t="shared" si="5"/>
        <v/>
      </c>
      <c r="P34" s="25" t="str">
        <f t="shared" si="6"/>
        <v/>
      </c>
    </row>
    <row r="35" spans="1:16" ht="30" customHeight="1">
      <c r="A35" s="78"/>
      <c r="B35" s="79"/>
      <c r="C35" s="80"/>
      <c r="D35" s="80"/>
      <c r="E35" s="80"/>
      <c r="F35" s="80"/>
      <c r="G35" s="80"/>
      <c r="H35" s="80"/>
      <c r="I35" s="80"/>
      <c r="J35" s="80" t="str">
        <f t="shared" si="0"/>
        <v/>
      </c>
      <c r="K35" s="80" t="str">
        <f t="shared" si="1"/>
        <v/>
      </c>
      <c r="L35" s="81" t="str">
        <f t="shared" si="2"/>
        <v/>
      </c>
      <c r="M35" s="82" t="str">
        <f t="shared" si="3"/>
        <v/>
      </c>
      <c r="N35" s="78" t="str">
        <f t="shared" si="4"/>
        <v/>
      </c>
      <c r="O35" s="24" t="str">
        <f t="shared" si="5"/>
        <v/>
      </c>
      <c r="P35" s="25" t="str">
        <f t="shared" si="6"/>
        <v/>
      </c>
    </row>
    <row r="36" spans="1:16" ht="30" customHeight="1">
      <c r="A36" s="78"/>
      <c r="B36" s="79"/>
      <c r="C36" s="80"/>
      <c r="D36" s="80"/>
      <c r="E36" s="80"/>
      <c r="F36" s="80"/>
      <c r="G36" s="80"/>
      <c r="H36" s="80"/>
      <c r="I36" s="80"/>
      <c r="J36" s="80" t="str">
        <f t="shared" si="0"/>
        <v/>
      </c>
      <c r="K36" s="80" t="str">
        <f t="shared" si="1"/>
        <v/>
      </c>
      <c r="L36" s="81" t="str">
        <f t="shared" si="2"/>
        <v/>
      </c>
      <c r="M36" s="82" t="str">
        <f t="shared" si="3"/>
        <v/>
      </c>
      <c r="N36" s="78" t="str">
        <f t="shared" si="4"/>
        <v/>
      </c>
      <c r="O36" s="24" t="str">
        <f t="shared" si="5"/>
        <v/>
      </c>
      <c r="P36" s="25" t="str">
        <f t="shared" si="6"/>
        <v/>
      </c>
    </row>
    <row r="37" spans="1:16" ht="30" customHeight="1">
      <c r="A37" s="78"/>
      <c r="B37" s="79"/>
      <c r="C37" s="80"/>
      <c r="D37" s="80"/>
      <c r="E37" s="80"/>
      <c r="F37" s="80"/>
      <c r="G37" s="80"/>
      <c r="H37" s="80"/>
      <c r="I37" s="80"/>
      <c r="J37" s="80" t="str">
        <f t="shared" si="0"/>
        <v/>
      </c>
      <c r="K37" s="80" t="str">
        <f t="shared" si="1"/>
        <v/>
      </c>
      <c r="L37" s="81" t="str">
        <f t="shared" si="2"/>
        <v/>
      </c>
      <c r="M37" s="82" t="str">
        <f t="shared" si="3"/>
        <v/>
      </c>
      <c r="N37" s="78" t="str">
        <f t="shared" si="4"/>
        <v/>
      </c>
      <c r="O37" s="24" t="str">
        <f t="shared" si="5"/>
        <v/>
      </c>
      <c r="P37" s="25" t="str">
        <f t="shared" si="6"/>
        <v/>
      </c>
    </row>
    <row r="38" spans="1:16" s="26" customFormat="1" ht="21.75" customHeight="1">
      <c r="A38" s="29"/>
      <c r="B38" s="30"/>
      <c r="C38" s="31"/>
      <c r="D38" s="31"/>
      <c r="E38" s="31"/>
      <c r="F38" s="31"/>
      <c r="G38" s="31"/>
      <c r="H38" s="31"/>
      <c r="I38" s="31"/>
      <c r="J38" s="31" t="str">
        <f t="shared" si="0"/>
        <v/>
      </c>
      <c r="K38" s="32" t="str">
        <f t="shared" si="1"/>
        <v/>
      </c>
      <c r="L38" s="32" t="str">
        <f t="shared" si="2"/>
        <v/>
      </c>
      <c r="M38" s="29" t="str">
        <f t="shared" si="3"/>
        <v/>
      </c>
      <c r="N38" s="33" t="str">
        <f t="shared" si="4"/>
        <v/>
      </c>
      <c r="O38" s="34" t="str">
        <f t="shared" si="5"/>
        <v/>
      </c>
      <c r="P38" s="35" t="str">
        <f t="shared" si="6"/>
        <v/>
      </c>
    </row>
    <row r="39" spans="1:16" s="26" customFormat="1" ht="21.75" customHeight="1">
      <c r="A39" s="33"/>
      <c r="B39" s="36"/>
      <c r="C39" s="37"/>
      <c r="D39" s="37"/>
      <c r="E39" s="37"/>
      <c r="F39" s="37"/>
      <c r="G39" s="37"/>
      <c r="H39" s="37"/>
      <c r="I39" s="37"/>
      <c r="J39" s="37" t="str">
        <f t="shared" si="0"/>
        <v/>
      </c>
      <c r="K39" s="38" t="str">
        <f t="shared" si="1"/>
        <v/>
      </c>
      <c r="L39" s="38" t="str">
        <f t="shared" si="2"/>
        <v/>
      </c>
      <c r="M39" s="33" t="str">
        <f t="shared" si="3"/>
        <v/>
      </c>
      <c r="N39" s="33" t="str">
        <f t="shared" si="4"/>
        <v/>
      </c>
      <c r="O39" s="34" t="str">
        <f t="shared" si="5"/>
        <v/>
      </c>
      <c r="P39" s="35" t="str">
        <f t="shared" si="6"/>
        <v/>
      </c>
    </row>
    <row r="40" spans="1:16" s="26" customFormat="1" ht="21.75" customHeight="1">
      <c r="A40" s="33"/>
      <c r="B40" s="36"/>
      <c r="C40" s="37"/>
      <c r="D40" s="37"/>
      <c r="E40" s="37"/>
      <c r="F40" s="37"/>
      <c r="G40" s="37"/>
      <c r="H40" s="37"/>
      <c r="I40" s="37"/>
      <c r="J40" s="37" t="str">
        <f t="shared" si="0"/>
        <v/>
      </c>
      <c r="K40" s="38" t="str">
        <f t="shared" si="1"/>
        <v/>
      </c>
      <c r="L40" s="38" t="str">
        <f t="shared" si="2"/>
        <v/>
      </c>
      <c r="M40" s="33" t="str">
        <f t="shared" si="3"/>
        <v/>
      </c>
      <c r="N40" s="33" t="str">
        <f t="shared" si="4"/>
        <v/>
      </c>
      <c r="O40" s="34" t="str">
        <f t="shared" si="5"/>
        <v/>
      </c>
      <c r="P40" s="35" t="str">
        <f t="shared" si="6"/>
        <v/>
      </c>
    </row>
    <row r="41" spans="1:16" s="26" customFormat="1" ht="21.75" customHeight="1">
      <c r="A41" s="33"/>
      <c r="B41" s="36"/>
      <c r="C41" s="37"/>
      <c r="D41" s="37"/>
      <c r="E41" s="37"/>
      <c r="F41" s="37"/>
      <c r="G41" s="37"/>
      <c r="H41" s="37"/>
      <c r="I41" s="37"/>
      <c r="J41" s="37" t="str">
        <f t="shared" si="0"/>
        <v/>
      </c>
      <c r="K41" s="38" t="str">
        <f t="shared" si="1"/>
        <v/>
      </c>
      <c r="L41" s="38" t="str">
        <f t="shared" si="2"/>
        <v/>
      </c>
      <c r="M41" s="33" t="str">
        <f t="shared" si="3"/>
        <v/>
      </c>
      <c r="N41" s="33" t="str">
        <f t="shared" si="4"/>
        <v/>
      </c>
      <c r="O41" s="34" t="str">
        <f t="shared" si="5"/>
        <v/>
      </c>
      <c r="P41" s="35" t="str">
        <f t="shared" si="6"/>
        <v/>
      </c>
    </row>
    <row r="42" spans="1:16" s="26" customFormat="1" ht="21.75" customHeight="1">
      <c r="A42" s="33"/>
      <c r="B42" s="36"/>
      <c r="C42" s="37"/>
      <c r="D42" s="37"/>
      <c r="E42" s="37"/>
      <c r="F42" s="37"/>
      <c r="G42" s="37"/>
      <c r="H42" s="37"/>
      <c r="I42" s="37"/>
      <c r="J42" s="37" t="str">
        <f t="shared" si="0"/>
        <v/>
      </c>
      <c r="K42" s="38" t="str">
        <f t="shared" si="1"/>
        <v/>
      </c>
      <c r="L42" s="38" t="str">
        <f t="shared" si="2"/>
        <v/>
      </c>
      <c r="M42" s="33" t="str">
        <f t="shared" si="3"/>
        <v/>
      </c>
      <c r="N42" s="33" t="str">
        <f t="shared" si="4"/>
        <v/>
      </c>
      <c r="O42" s="34" t="str">
        <f t="shared" si="5"/>
        <v/>
      </c>
      <c r="P42" s="35" t="str">
        <f t="shared" si="6"/>
        <v/>
      </c>
    </row>
    <row r="43" spans="1:16" s="26" customFormat="1" ht="21.75" customHeight="1">
      <c r="A43" s="33"/>
      <c r="B43" s="36"/>
      <c r="C43" s="37"/>
      <c r="D43" s="37"/>
      <c r="E43" s="37"/>
      <c r="F43" s="37"/>
      <c r="G43" s="37"/>
      <c r="H43" s="37"/>
      <c r="I43" s="37"/>
      <c r="J43" s="37" t="str">
        <f t="shared" si="0"/>
        <v/>
      </c>
      <c r="K43" s="38" t="str">
        <f t="shared" si="1"/>
        <v/>
      </c>
      <c r="L43" s="38" t="str">
        <f t="shared" si="2"/>
        <v/>
      </c>
      <c r="M43" s="33" t="str">
        <f t="shared" si="3"/>
        <v/>
      </c>
      <c r="N43" s="33" t="str">
        <f t="shared" si="4"/>
        <v/>
      </c>
      <c r="O43" s="34" t="str">
        <f t="shared" si="5"/>
        <v/>
      </c>
      <c r="P43" s="35" t="str">
        <f t="shared" si="6"/>
        <v/>
      </c>
    </row>
    <row r="44" spans="1:16" s="26" customFormat="1" ht="21.75" customHeight="1">
      <c r="A44" s="33"/>
      <c r="B44" s="36"/>
      <c r="C44" s="37"/>
      <c r="D44" s="37"/>
      <c r="E44" s="37"/>
      <c r="F44" s="37"/>
      <c r="G44" s="37"/>
      <c r="H44" s="37"/>
      <c r="I44" s="37"/>
      <c r="J44" s="37" t="str">
        <f t="shared" si="0"/>
        <v/>
      </c>
      <c r="K44" s="38" t="str">
        <f t="shared" si="1"/>
        <v/>
      </c>
      <c r="L44" s="38" t="str">
        <f t="shared" si="2"/>
        <v/>
      </c>
      <c r="M44" s="33" t="str">
        <f t="shared" si="3"/>
        <v/>
      </c>
      <c r="N44" s="33" t="str">
        <f t="shared" si="4"/>
        <v/>
      </c>
      <c r="O44" s="34" t="str">
        <f t="shared" si="5"/>
        <v/>
      </c>
      <c r="P44" s="35" t="str">
        <f t="shared" si="6"/>
        <v/>
      </c>
    </row>
    <row r="45" spans="1:16" s="26" customFormat="1" ht="21.75" customHeight="1">
      <c r="A45" s="33"/>
      <c r="B45" s="36"/>
      <c r="C45" s="37"/>
      <c r="D45" s="37"/>
      <c r="E45" s="37"/>
      <c r="F45" s="37"/>
      <c r="G45" s="37"/>
      <c r="H45" s="37"/>
      <c r="I45" s="37"/>
      <c r="J45" s="37" t="str">
        <f t="shared" si="0"/>
        <v/>
      </c>
      <c r="K45" s="38" t="str">
        <f t="shared" si="1"/>
        <v/>
      </c>
      <c r="L45" s="38" t="str">
        <f t="shared" si="2"/>
        <v/>
      </c>
      <c r="M45" s="33" t="str">
        <f t="shared" si="3"/>
        <v/>
      </c>
      <c r="N45" s="33" t="str">
        <f t="shared" si="4"/>
        <v/>
      </c>
      <c r="O45" s="34" t="str">
        <f t="shared" si="5"/>
        <v/>
      </c>
      <c r="P45" s="35" t="str">
        <f t="shared" si="6"/>
        <v/>
      </c>
    </row>
    <row r="46" spans="1:16" s="26" customFormat="1" ht="21.75" customHeight="1">
      <c r="A46" s="33"/>
      <c r="B46" s="36"/>
      <c r="C46" s="37"/>
      <c r="D46" s="37"/>
      <c r="E46" s="37"/>
      <c r="F46" s="37"/>
      <c r="G46" s="37"/>
      <c r="H46" s="37"/>
      <c r="I46" s="37"/>
      <c r="J46" s="37" t="str">
        <f t="shared" ref="J46:J63" si="7">IF($B46="","",IF(COUNT(C46:I46)=0,"",SUM(C46:I46)))</f>
        <v/>
      </c>
      <c r="K46" s="38" t="str">
        <f t="shared" ref="K46:K63" si="8">IF($B46="","",IF(COUNT(C46:I46)=0,"",ROUND(SUM(C46:I46)/COLUMNS(C46:I46),2)))</f>
        <v/>
      </c>
      <c r="L46" s="38" t="str">
        <f t="shared" ref="L46:L63" si="9">IF($B46="","",IF(COUNT(C46:I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)/COLUMNS(C46:I46),2)))</f>
        <v/>
      </c>
      <c r="M46" s="33" t="str">
        <f t="shared" ref="M46:M63" si="10">IF($B46="","",IF(L46="","",IF(L46=0,"Fail",IF(L46=5,"A+",IF(L46&gt;=4,"A",IF(L46&gt;=3.5,"A-",IF(L46&gt;=3,"B",IF(L46&gt;=2,"C",IF(L46&gt;=1,"D","F")))))))))</f>
        <v/>
      </c>
      <c r="N46" s="33" t="str">
        <f t="shared" ref="N46:N63" si="11">IF($B46="","",IF($O46="","",IF($O46=1,"1g",IF($O46=2,"2q",IF($O46=3,"3q",$O46)))))</f>
        <v/>
      </c>
      <c r="O46" s="34" t="str">
        <f t="shared" ref="O46:O63" si="12">IF($B46="","",IF(OR($M46="ফেল",$M46="অনুপস্থিত",$M46="অসম্পূর্ণ"),"",1+SUMPRODUCT(($P$14:$P$63&lt;&gt;"")*($P$14:$P$63&gt;P46)/COUNTIF($P$14:$P$63,$P$14:$P$63))))</f>
        <v/>
      </c>
      <c r="P46" s="35" t="str">
        <f t="shared" ref="P46:P63" si="13">IF($B46="","",K46)</f>
        <v/>
      </c>
    </row>
    <row r="47" spans="1:16" s="26" customFormat="1" ht="21.75" customHeight="1">
      <c r="A47" s="33">
        <v>34</v>
      </c>
      <c r="B47" s="36"/>
      <c r="C47" s="37"/>
      <c r="D47" s="37"/>
      <c r="E47" s="37"/>
      <c r="F47" s="37"/>
      <c r="G47" s="37"/>
      <c r="H47" s="37"/>
      <c r="I47" s="37"/>
      <c r="J47" s="37" t="str">
        <f t="shared" si="7"/>
        <v/>
      </c>
      <c r="K47" s="38" t="str">
        <f t="shared" si="8"/>
        <v/>
      </c>
      <c r="L47" s="38" t="str">
        <f t="shared" si="9"/>
        <v/>
      </c>
      <c r="M47" s="33" t="str">
        <f t="shared" si="10"/>
        <v/>
      </c>
      <c r="N47" s="33" t="str">
        <f t="shared" si="11"/>
        <v/>
      </c>
      <c r="O47" s="34" t="str">
        <f t="shared" si="12"/>
        <v/>
      </c>
      <c r="P47" s="35" t="str">
        <f t="shared" si="13"/>
        <v/>
      </c>
    </row>
    <row r="48" spans="1:16" s="26" customFormat="1" ht="21.75" customHeight="1">
      <c r="A48" s="33">
        <v>35</v>
      </c>
      <c r="B48" s="36"/>
      <c r="C48" s="37"/>
      <c r="D48" s="37"/>
      <c r="E48" s="37"/>
      <c r="F48" s="37"/>
      <c r="G48" s="37"/>
      <c r="H48" s="37"/>
      <c r="I48" s="37"/>
      <c r="J48" s="37" t="str">
        <f t="shared" si="7"/>
        <v/>
      </c>
      <c r="K48" s="38" t="str">
        <f t="shared" si="8"/>
        <v/>
      </c>
      <c r="L48" s="38" t="str">
        <f t="shared" si="9"/>
        <v/>
      </c>
      <c r="M48" s="33" t="str">
        <f t="shared" si="10"/>
        <v/>
      </c>
      <c r="N48" s="33" t="str">
        <f t="shared" si="11"/>
        <v/>
      </c>
      <c r="O48" s="34" t="str">
        <f t="shared" si="12"/>
        <v/>
      </c>
      <c r="P48" s="35" t="str">
        <f t="shared" si="13"/>
        <v/>
      </c>
    </row>
    <row r="49" spans="1:16" s="26" customFormat="1" ht="21.75" customHeight="1">
      <c r="A49" s="33">
        <v>36</v>
      </c>
      <c r="B49" s="36"/>
      <c r="C49" s="37"/>
      <c r="D49" s="37"/>
      <c r="E49" s="37"/>
      <c r="F49" s="37"/>
      <c r="G49" s="37"/>
      <c r="H49" s="37"/>
      <c r="I49" s="37"/>
      <c r="J49" s="37" t="str">
        <f t="shared" si="7"/>
        <v/>
      </c>
      <c r="K49" s="38" t="str">
        <f t="shared" si="8"/>
        <v/>
      </c>
      <c r="L49" s="38" t="str">
        <f t="shared" si="9"/>
        <v/>
      </c>
      <c r="M49" s="33" t="str">
        <f t="shared" si="10"/>
        <v/>
      </c>
      <c r="N49" s="33" t="str">
        <f t="shared" si="11"/>
        <v/>
      </c>
      <c r="O49" s="34" t="str">
        <f t="shared" si="12"/>
        <v/>
      </c>
      <c r="P49" s="35" t="str">
        <f t="shared" si="13"/>
        <v/>
      </c>
    </row>
    <row r="50" spans="1:16" s="26" customFormat="1" ht="21.75" customHeight="1">
      <c r="A50" s="33">
        <v>37</v>
      </c>
      <c r="B50" s="36"/>
      <c r="C50" s="37"/>
      <c r="D50" s="37"/>
      <c r="E50" s="37"/>
      <c r="F50" s="37"/>
      <c r="G50" s="37"/>
      <c r="H50" s="37"/>
      <c r="I50" s="37"/>
      <c r="J50" s="37" t="str">
        <f t="shared" si="7"/>
        <v/>
      </c>
      <c r="K50" s="38" t="str">
        <f t="shared" si="8"/>
        <v/>
      </c>
      <c r="L50" s="38" t="str">
        <f t="shared" si="9"/>
        <v/>
      </c>
      <c r="M50" s="33" t="str">
        <f t="shared" si="10"/>
        <v/>
      </c>
      <c r="N50" s="33" t="str">
        <f t="shared" si="11"/>
        <v/>
      </c>
      <c r="O50" s="34" t="str">
        <f t="shared" si="12"/>
        <v/>
      </c>
      <c r="P50" s="35" t="str">
        <f t="shared" si="13"/>
        <v/>
      </c>
    </row>
    <row r="51" spans="1:16" s="26" customFormat="1" ht="21.75" customHeight="1">
      <c r="A51" s="33">
        <v>38</v>
      </c>
      <c r="B51" s="36"/>
      <c r="C51" s="37"/>
      <c r="D51" s="37"/>
      <c r="E51" s="37"/>
      <c r="F51" s="37"/>
      <c r="G51" s="37"/>
      <c r="H51" s="37"/>
      <c r="I51" s="37"/>
      <c r="J51" s="37" t="str">
        <f t="shared" si="7"/>
        <v/>
      </c>
      <c r="K51" s="38" t="str">
        <f t="shared" si="8"/>
        <v/>
      </c>
      <c r="L51" s="38" t="str">
        <f t="shared" si="9"/>
        <v/>
      </c>
      <c r="M51" s="33" t="str">
        <f t="shared" si="10"/>
        <v/>
      </c>
      <c r="N51" s="33" t="str">
        <f t="shared" si="11"/>
        <v/>
      </c>
      <c r="O51" s="34" t="str">
        <f t="shared" si="12"/>
        <v/>
      </c>
      <c r="P51" s="35" t="str">
        <f t="shared" si="13"/>
        <v/>
      </c>
    </row>
    <row r="52" spans="1:16" s="26" customFormat="1" ht="21.75" customHeight="1">
      <c r="A52" s="33">
        <v>39</v>
      </c>
      <c r="B52" s="36"/>
      <c r="C52" s="37"/>
      <c r="D52" s="37"/>
      <c r="E52" s="37"/>
      <c r="F52" s="37"/>
      <c r="G52" s="37"/>
      <c r="H52" s="37"/>
      <c r="I52" s="37"/>
      <c r="J52" s="37" t="str">
        <f t="shared" si="7"/>
        <v/>
      </c>
      <c r="K52" s="38" t="str">
        <f t="shared" si="8"/>
        <v/>
      </c>
      <c r="L52" s="38" t="str">
        <f t="shared" si="9"/>
        <v/>
      </c>
      <c r="M52" s="33" t="str">
        <f t="shared" si="10"/>
        <v/>
      </c>
      <c r="N52" s="33" t="str">
        <f t="shared" si="11"/>
        <v/>
      </c>
      <c r="O52" s="34" t="str">
        <f t="shared" si="12"/>
        <v/>
      </c>
      <c r="P52" s="35" t="str">
        <f t="shared" si="13"/>
        <v/>
      </c>
    </row>
    <row r="53" spans="1:16" s="26" customFormat="1" ht="21.75" customHeight="1">
      <c r="A53" s="33">
        <v>40</v>
      </c>
      <c r="B53" s="36"/>
      <c r="C53" s="37"/>
      <c r="D53" s="37"/>
      <c r="E53" s="37"/>
      <c r="F53" s="37"/>
      <c r="G53" s="37"/>
      <c r="H53" s="37"/>
      <c r="I53" s="37"/>
      <c r="J53" s="37" t="str">
        <f t="shared" si="7"/>
        <v/>
      </c>
      <c r="K53" s="38" t="str">
        <f t="shared" si="8"/>
        <v/>
      </c>
      <c r="L53" s="38" t="str">
        <f t="shared" si="9"/>
        <v/>
      </c>
      <c r="M53" s="33" t="str">
        <f t="shared" si="10"/>
        <v/>
      </c>
      <c r="N53" s="33" t="str">
        <f t="shared" si="11"/>
        <v/>
      </c>
      <c r="O53" s="34" t="str">
        <f t="shared" si="12"/>
        <v/>
      </c>
      <c r="P53" s="35" t="str">
        <f t="shared" si="13"/>
        <v/>
      </c>
    </row>
    <row r="54" spans="1:16" s="26" customFormat="1" ht="21.75" customHeight="1">
      <c r="A54" s="33">
        <v>41</v>
      </c>
      <c r="B54" s="36"/>
      <c r="C54" s="37"/>
      <c r="D54" s="37"/>
      <c r="E54" s="37"/>
      <c r="F54" s="37"/>
      <c r="G54" s="37"/>
      <c r="H54" s="37"/>
      <c r="I54" s="37"/>
      <c r="J54" s="37" t="str">
        <f t="shared" si="7"/>
        <v/>
      </c>
      <c r="K54" s="38" t="str">
        <f t="shared" si="8"/>
        <v/>
      </c>
      <c r="L54" s="38" t="str">
        <f t="shared" si="9"/>
        <v/>
      </c>
      <c r="M54" s="33" t="str">
        <f t="shared" si="10"/>
        <v/>
      </c>
      <c r="N54" s="33" t="str">
        <f t="shared" si="11"/>
        <v/>
      </c>
      <c r="O54" s="34" t="str">
        <f t="shared" si="12"/>
        <v/>
      </c>
      <c r="P54" s="35" t="str">
        <f t="shared" si="13"/>
        <v/>
      </c>
    </row>
    <row r="55" spans="1:16" s="26" customFormat="1" ht="21.75" customHeight="1">
      <c r="A55" s="33">
        <v>42</v>
      </c>
      <c r="B55" s="36"/>
      <c r="C55" s="37"/>
      <c r="D55" s="37"/>
      <c r="E55" s="37"/>
      <c r="F55" s="37"/>
      <c r="G55" s="37"/>
      <c r="H55" s="37"/>
      <c r="I55" s="37"/>
      <c r="J55" s="37" t="str">
        <f t="shared" si="7"/>
        <v/>
      </c>
      <c r="K55" s="38" t="str">
        <f t="shared" si="8"/>
        <v/>
      </c>
      <c r="L55" s="38" t="str">
        <f t="shared" si="9"/>
        <v/>
      </c>
      <c r="M55" s="33" t="str">
        <f t="shared" si="10"/>
        <v/>
      </c>
      <c r="N55" s="33" t="str">
        <f t="shared" si="11"/>
        <v/>
      </c>
      <c r="O55" s="34" t="str">
        <f t="shared" si="12"/>
        <v/>
      </c>
      <c r="P55" s="35" t="str">
        <f t="shared" si="13"/>
        <v/>
      </c>
    </row>
    <row r="56" spans="1:16" s="26" customFormat="1" ht="21.75" customHeight="1">
      <c r="A56" s="33">
        <v>43</v>
      </c>
      <c r="B56" s="36"/>
      <c r="C56" s="37"/>
      <c r="D56" s="37"/>
      <c r="E56" s="37"/>
      <c r="F56" s="37"/>
      <c r="G56" s="37"/>
      <c r="H56" s="37"/>
      <c r="I56" s="37"/>
      <c r="J56" s="37" t="str">
        <f t="shared" si="7"/>
        <v/>
      </c>
      <c r="K56" s="38" t="str">
        <f t="shared" si="8"/>
        <v/>
      </c>
      <c r="L56" s="38" t="str">
        <f t="shared" si="9"/>
        <v/>
      </c>
      <c r="M56" s="33" t="str">
        <f t="shared" si="10"/>
        <v/>
      </c>
      <c r="N56" s="33" t="str">
        <f t="shared" si="11"/>
        <v/>
      </c>
      <c r="O56" s="34" t="str">
        <f t="shared" si="12"/>
        <v/>
      </c>
      <c r="P56" s="35" t="str">
        <f t="shared" si="13"/>
        <v/>
      </c>
    </row>
    <row r="57" spans="1:16" s="26" customFormat="1" ht="21.75" customHeight="1">
      <c r="A57" s="33">
        <v>44</v>
      </c>
      <c r="B57" s="36"/>
      <c r="C57" s="37"/>
      <c r="D57" s="37"/>
      <c r="E57" s="37"/>
      <c r="F57" s="37"/>
      <c r="G57" s="37"/>
      <c r="H57" s="37"/>
      <c r="I57" s="37"/>
      <c r="J57" s="37" t="str">
        <f t="shared" si="7"/>
        <v/>
      </c>
      <c r="K57" s="38" t="str">
        <f t="shared" si="8"/>
        <v/>
      </c>
      <c r="L57" s="38" t="str">
        <f t="shared" si="9"/>
        <v/>
      </c>
      <c r="M57" s="33" t="str">
        <f t="shared" si="10"/>
        <v/>
      </c>
      <c r="N57" s="33" t="str">
        <f t="shared" si="11"/>
        <v/>
      </c>
      <c r="O57" s="34" t="str">
        <f t="shared" si="12"/>
        <v/>
      </c>
      <c r="P57" s="35" t="str">
        <f t="shared" si="13"/>
        <v/>
      </c>
    </row>
    <row r="58" spans="1:16" s="26" customFormat="1" ht="21.75" customHeight="1">
      <c r="A58" s="33">
        <v>45</v>
      </c>
      <c r="B58" s="36"/>
      <c r="C58" s="37"/>
      <c r="D58" s="37"/>
      <c r="E58" s="37"/>
      <c r="F58" s="37"/>
      <c r="G58" s="37"/>
      <c r="H58" s="37"/>
      <c r="I58" s="37"/>
      <c r="J58" s="37" t="str">
        <f t="shared" si="7"/>
        <v/>
      </c>
      <c r="K58" s="38" t="str">
        <f t="shared" si="8"/>
        <v/>
      </c>
      <c r="L58" s="38" t="str">
        <f t="shared" si="9"/>
        <v/>
      </c>
      <c r="M58" s="33" t="str">
        <f t="shared" si="10"/>
        <v/>
      </c>
      <c r="N58" s="33" t="str">
        <f t="shared" si="11"/>
        <v/>
      </c>
      <c r="O58" s="34" t="str">
        <f t="shared" si="12"/>
        <v/>
      </c>
      <c r="P58" s="35" t="str">
        <f t="shared" si="13"/>
        <v/>
      </c>
    </row>
    <row r="59" spans="1:16" s="26" customFormat="1" ht="21.75" customHeight="1">
      <c r="A59" s="33">
        <v>46</v>
      </c>
      <c r="B59" s="36"/>
      <c r="C59" s="37"/>
      <c r="D59" s="37"/>
      <c r="E59" s="37"/>
      <c r="F59" s="37"/>
      <c r="G59" s="37"/>
      <c r="H59" s="37"/>
      <c r="I59" s="37"/>
      <c r="J59" s="37" t="str">
        <f t="shared" si="7"/>
        <v/>
      </c>
      <c r="K59" s="38" t="str">
        <f t="shared" si="8"/>
        <v/>
      </c>
      <c r="L59" s="38" t="str">
        <f t="shared" si="9"/>
        <v/>
      </c>
      <c r="M59" s="33" t="str">
        <f t="shared" si="10"/>
        <v/>
      </c>
      <c r="N59" s="33" t="str">
        <f t="shared" si="11"/>
        <v/>
      </c>
      <c r="O59" s="34" t="str">
        <f t="shared" si="12"/>
        <v/>
      </c>
      <c r="P59" s="35" t="str">
        <f t="shared" si="13"/>
        <v/>
      </c>
    </row>
    <row r="60" spans="1:16" s="26" customFormat="1" ht="21.75" customHeight="1">
      <c r="A60" s="33">
        <v>47</v>
      </c>
      <c r="B60" s="36"/>
      <c r="C60" s="37"/>
      <c r="D60" s="37"/>
      <c r="E60" s="37"/>
      <c r="F60" s="37"/>
      <c r="G60" s="37"/>
      <c r="H60" s="37"/>
      <c r="I60" s="37"/>
      <c r="J60" s="37" t="str">
        <f t="shared" si="7"/>
        <v/>
      </c>
      <c r="K60" s="38" t="str">
        <f t="shared" si="8"/>
        <v/>
      </c>
      <c r="L60" s="38" t="str">
        <f t="shared" si="9"/>
        <v/>
      </c>
      <c r="M60" s="33" t="str">
        <f t="shared" si="10"/>
        <v/>
      </c>
      <c r="N60" s="33" t="str">
        <f t="shared" si="11"/>
        <v/>
      </c>
      <c r="O60" s="34" t="str">
        <f t="shared" si="12"/>
        <v/>
      </c>
      <c r="P60" s="35" t="str">
        <f t="shared" si="13"/>
        <v/>
      </c>
    </row>
    <row r="61" spans="1:16" s="26" customFormat="1" ht="21.75" customHeight="1">
      <c r="A61" s="33">
        <v>48</v>
      </c>
      <c r="B61" s="36"/>
      <c r="C61" s="37"/>
      <c r="D61" s="37"/>
      <c r="E61" s="37"/>
      <c r="F61" s="37"/>
      <c r="G61" s="37"/>
      <c r="H61" s="37"/>
      <c r="I61" s="37"/>
      <c r="J61" s="37" t="str">
        <f t="shared" si="7"/>
        <v/>
      </c>
      <c r="K61" s="38" t="str">
        <f t="shared" si="8"/>
        <v/>
      </c>
      <c r="L61" s="38" t="str">
        <f t="shared" si="9"/>
        <v/>
      </c>
      <c r="M61" s="33" t="str">
        <f t="shared" si="10"/>
        <v/>
      </c>
      <c r="N61" s="33" t="str">
        <f t="shared" si="11"/>
        <v/>
      </c>
      <c r="O61" s="34" t="str">
        <f t="shared" si="12"/>
        <v/>
      </c>
      <c r="P61" s="35" t="str">
        <f t="shared" si="13"/>
        <v/>
      </c>
    </row>
    <row r="62" spans="1:16" s="26" customFormat="1" ht="21.75" customHeight="1">
      <c r="A62" s="33">
        <v>49</v>
      </c>
      <c r="B62" s="36"/>
      <c r="C62" s="37"/>
      <c r="D62" s="37"/>
      <c r="E62" s="37"/>
      <c r="F62" s="37"/>
      <c r="G62" s="37"/>
      <c r="H62" s="37"/>
      <c r="I62" s="37"/>
      <c r="J62" s="37" t="str">
        <f t="shared" si="7"/>
        <v/>
      </c>
      <c r="K62" s="38" t="str">
        <f t="shared" si="8"/>
        <v/>
      </c>
      <c r="L62" s="38" t="str">
        <f t="shared" si="9"/>
        <v/>
      </c>
      <c r="M62" s="33" t="str">
        <f t="shared" si="10"/>
        <v/>
      </c>
      <c r="N62" s="33" t="str">
        <f t="shared" si="11"/>
        <v/>
      </c>
      <c r="O62" s="34" t="str">
        <f t="shared" si="12"/>
        <v/>
      </c>
      <c r="P62" s="35" t="str">
        <f t="shared" si="13"/>
        <v/>
      </c>
    </row>
    <row r="63" spans="1:16" s="26" customFormat="1" ht="21.75" customHeight="1">
      <c r="A63" s="33">
        <v>50</v>
      </c>
      <c r="B63" s="36"/>
      <c r="C63" s="37"/>
      <c r="D63" s="37"/>
      <c r="E63" s="37"/>
      <c r="F63" s="37"/>
      <c r="G63" s="37"/>
      <c r="H63" s="37"/>
      <c r="I63" s="37"/>
      <c r="J63" s="37" t="str">
        <f t="shared" si="7"/>
        <v/>
      </c>
      <c r="K63" s="38" t="str">
        <f t="shared" si="8"/>
        <v/>
      </c>
      <c r="L63" s="38" t="str">
        <f t="shared" si="9"/>
        <v/>
      </c>
      <c r="M63" s="33" t="str">
        <f t="shared" si="10"/>
        <v/>
      </c>
      <c r="N63" s="33" t="str">
        <f t="shared" si="11"/>
        <v/>
      </c>
      <c r="O63" s="34" t="str">
        <f t="shared" si="12"/>
        <v/>
      </c>
      <c r="P63" s="35" t="str">
        <f t="shared" si="13"/>
        <v/>
      </c>
    </row>
    <row r="64" spans="1:16" s="26" customFormat="1" ht="21.75" customHeight="1">
      <c r="A64" s="33">
        <v>51</v>
      </c>
      <c r="B64" s="36"/>
      <c r="C64" s="37"/>
      <c r="D64" s="37"/>
      <c r="E64" s="37"/>
      <c r="F64" s="37"/>
      <c r="G64" s="37"/>
      <c r="H64" s="37"/>
      <c r="I64" s="37"/>
      <c r="J64" s="37"/>
      <c r="K64" s="38"/>
      <c r="L64" s="38"/>
      <c r="M64" s="33"/>
      <c r="N64" s="33"/>
      <c r="O64" s="34"/>
      <c r="P64" s="35"/>
    </row>
    <row r="65" spans="1:16" s="26" customFormat="1" ht="21.75" customHeight="1">
      <c r="A65" s="33">
        <v>52</v>
      </c>
      <c r="B65" s="36"/>
      <c r="C65" s="37"/>
      <c r="D65" s="37"/>
      <c r="E65" s="37"/>
      <c r="F65" s="37"/>
      <c r="G65" s="37"/>
      <c r="H65" s="37"/>
      <c r="I65" s="37"/>
      <c r="J65" s="37"/>
      <c r="K65" s="38"/>
      <c r="L65" s="38"/>
      <c r="M65" s="33"/>
      <c r="N65" s="33"/>
      <c r="O65" s="34"/>
      <c r="P65" s="35"/>
    </row>
    <row r="66" spans="1:16" s="26" customFormat="1" ht="21.75" customHeight="1">
      <c r="A66" s="33">
        <v>53</v>
      </c>
      <c r="B66" s="36"/>
      <c r="C66" s="37"/>
      <c r="D66" s="37"/>
      <c r="E66" s="37"/>
      <c r="F66" s="37"/>
      <c r="G66" s="37"/>
      <c r="H66" s="37"/>
      <c r="I66" s="37"/>
      <c r="J66" s="37"/>
      <c r="K66" s="38"/>
      <c r="L66" s="38"/>
      <c r="M66" s="33"/>
      <c r="N66" s="33"/>
      <c r="O66" s="34"/>
      <c r="P66" s="35"/>
    </row>
    <row r="67" spans="1:16" s="26" customFormat="1" ht="21.75" customHeight="1">
      <c r="A67" s="33">
        <v>54</v>
      </c>
      <c r="B67" s="36"/>
      <c r="C67" s="37"/>
      <c r="D67" s="37"/>
      <c r="E67" s="37"/>
      <c r="F67" s="37"/>
      <c r="G67" s="37"/>
      <c r="H67" s="37"/>
      <c r="I67" s="37"/>
      <c r="J67" s="37"/>
      <c r="K67" s="38"/>
      <c r="L67" s="38"/>
      <c r="M67" s="33"/>
      <c r="N67" s="33"/>
      <c r="O67" s="34"/>
      <c r="P67" s="35"/>
    </row>
    <row r="68" spans="1:16" s="26" customFormat="1" ht="21.75" customHeight="1">
      <c r="A68" s="33">
        <v>55</v>
      </c>
      <c r="B68" s="36"/>
      <c r="C68" s="37"/>
      <c r="D68" s="37"/>
      <c r="E68" s="37"/>
      <c r="F68" s="37"/>
      <c r="G68" s="37"/>
      <c r="H68" s="37"/>
      <c r="I68" s="37"/>
      <c r="J68" s="37"/>
      <c r="K68" s="38"/>
      <c r="L68" s="38"/>
      <c r="M68" s="33"/>
      <c r="N68" s="33"/>
      <c r="O68" s="34"/>
      <c r="P68" s="35"/>
    </row>
    <row r="69" spans="1:16" s="26" customFormat="1" ht="21.75" customHeight="1">
      <c r="A69" s="33">
        <v>56</v>
      </c>
      <c r="B69" s="36"/>
      <c r="C69" s="37"/>
      <c r="D69" s="37"/>
      <c r="E69" s="37"/>
      <c r="F69" s="37"/>
      <c r="G69" s="37"/>
      <c r="H69" s="37"/>
      <c r="I69" s="37"/>
      <c r="J69" s="37"/>
      <c r="K69" s="38"/>
      <c r="L69" s="38"/>
      <c r="M69" s="33"/>
      <c r="N69" s="33"/>
      <c r="O69" s="34"/>
      <c r="P69" s="35"/>
    </row>
    <row r="70" spans="1:16" s="26" customFormat="1" ht="21.75" customHeight="1">
      <c r="A70" s="33">
        <v>57</v>
      </c>
      <c r="B70" s="36"/>
      <c r="C70" s="37"/>
      <c r="D70" s="37"/>
      <c r="E70" s="37"/>
      <c r="F70" s="37"/>
      <c r="G70" s="37"/>
      <c r="H70" s="37"/>
      <c r="I70" s="37"/>
      <c r="J70" s="37" t="str">
        <f t="shared" ref="J70:J113" si="14">IF($B70="","",IF(COUNT(C70:I70)=0,"অনুপস্থিত",IF(COUNT(C70:I70)&lt;7,"অসম্পূর্ণ",SUM(C70:I70))))</f>
        <v/>
      </c>
      <c r="K70" s="38" t="str">
        <f t="shared" ref="K70:K113" si="15">IF($B70="","",IF(COUNT(C70:I70)=0,"অনুপস্থিত",IF(COUNT(C70:I70)&lt;7,"অসম্পূর্ণ",ROUND(SUM(C70:I70)/7,2))))</f>
        <v/>
      </c>
      <c r="L70" s="38" t="str">
        <f t="shared" ref="L70:L113" si="16">IF($B70="","",IF(COUNT(C70:I70)=0,"অনুপস্থিত",IF(COUNT(C70:I70)&lt;7,"অসম্পূর্ণ",ROUND((IF(ISNUMBER(C70),IF(C70&gt;=80,5,IF(C70&gt;=70,4,IF(C70&gt;=60,3.5,IF(C70&gt;=50,3,IF(C70&gt;=40,2,IF(C70&gt;=33,1,0)))))),0)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IF(ISNUMBER(I70),IF(I70&gt;=80,5,IF(I70&gt;=70,4,IF(I70&gt;=60,3.5,IF(I70&gt;=50,3,IF(I70&gt;=40,2,IF(I70&gt;=33,1,0)))))),0))/7,2))))</f>
        <v/>
      </c>
      <c r="M70" s="33" t="str">
        <f t="shared" ref="M70:M113" si="17">IF($B70="","",IF(COUNT(C70:I70)=0,"অনুপস্থিত",IF(COUNT(C70:I70)&lt;7,"অসম্পূর্ণ",IF(MIN(C70:I70)&lt;33,"ফেল",IF(L70=5,"A+",IF(L70&gt;=4,"A",IF(L70&gt;=3.5,"A-",IF(L70&gt;=3,"B",IF(L70&gt;=2,"C",IF(L70&gt;=1,"D","F"))))))))))</f>
        <v/>
      </c>
      <c r="N70" s="33" t="str">
        <f t="shared" ref="N70:N113" si="18">IF($B70="","",IF($M70="ফেল","ফেল",IF($M70="অনুপস্থিত","অনুপস্থিত",IF($M70="অসম্পূর্ণ","অসম্পূর্ণ",IF($O70=1,"1ম",IF($O70=2,"2য়",IF($O70=3,"3য়",$O70)))))))</f>
        <v/>
      </c>
      <c r="O70" s="34"/>
      <c r="P70" s="35"/>
    </row>
    <row r="71" spans="1:16" s="26" customFormat="1" ht="21.75" customHeight="1">
      <c r="A71" s="33">
        <v>58</v>
      </c>
      <c r="B71" s="36"/>
      <c r="C71" s="37"/>
      <c r="D71" s="37"/>
      <c r="E71" s="37"/>
      <c r="F71" s="37"/>
      <c r="G71" s="37"/>
      <c r="H71" s="37"/>
      <c r="I71" s="37"/>
      <c r="J71" s="37" t="str">
        <f t="shared" si="14"/>
        <v/>
      </c>
      <c r="K71" s="38" t="str">
        <f t="shared" si="15"/>
        <v/>
      </c>
      <c r="L71" s="38" t="str">
        <f t="shared" si="16"/>
        <v/>
      </c>
      <c r="M71" s="33" t="str">
        <f t="shared" si="17"/>
        <v/>
      </c>
      <c r="N71" s="33" t="str">
        <f t="shared" si="18"/>
        <v/>
      </c>
      <c r="O71" s="34"/>
      <c r="P71" s="35"/>
    </row>
    <row r="72" spans="1:16" s="26" customFormat="1" ht="21.75" customHeight="1">
      <c r="A72" s="33">
        <v>59</v>
      </c>
      <c r="B72" s="36"/>
      <c r="C72" s="37"/>
      <c r="D72" s="37"/>
      <c r="E72" s="37"/>
      <c r="F72" s="37"/>
      <c r="G72" s="37"/>
      <c r="H72" s="37"/>
      <c r="I72" s="37"/>
      <c r="J72" s="37" t="str">
        <f t="shared" si="14"/>
        <v/>
      </c>
      <c r="K72" s="38" t="str">
        <f t="shared" si="15"/>
        <v/>
      </c>
      <c r="L72" s="38" t="str">
        <f t="shared" si="16"/>
        <v/>
      </c>
      <c r="M72" s="33" t="str">
        <f t="shared" si="17"/>
        <v/>
      </c>
      <c r="N72" s="33" t="str">
        <f t="shared" si="18"/>
        <v/>
      </c>
      <c r="O72" s="34"/>
      <c r="P72" s="35"/>
    </row>
    <row r="73" spans="1:16" s="26" customFormat="1" ht="21.75" customHeight="1">
      <c r="A73" s="33">
        <v>60</v>
      </c>
      <c r="B73" s="36"/>
      <c r="C73" s="37"/>
      <c r="D73" s="37"/>
      <c r="E73" s="37"/>
      <c r="F73" s="37"/>
      <c r="G73" s="37"/>
      <c r="H73" s="37"/>
      <c r="I73" s="37"/>
      <c r="J73" s="37" t="str">
        <f t="shared" si="14"/>
        <v/>
      </c>
      <c r="K73" s="38" t="str">
        <f t="shared" si="15"/>
        <v/>
      </c>
      <c r="L73" s="38" t="str">
        <f t="shared" si="16"/>
        <v/>
      </c>
      <c r="M73" s="33" t="str">
        <f t="shared" si="17"/>
        <v/>
      </c>
      <c r="N73" s="33" t="str">
        <f t="shared" si="18"/>
        <v/>
      </c>
      <c r="O73" s="34"/>
      <c r="P73" s="35"/>
    </row>
    <row r="74" spans="1:16" s="26" customFormat="1" ht="21.75" customHeight="1">
      <c r="A74" s="33">
        <v>61</v>
      </c>
      <c r="B74" s="36"/>
      <c r="C74" s="37"/>
      <c r="D74" s="37"/>
      <c r="E74" s="37"/>
      <c r="F74" s="37"/>
      <c r="G74" s="37"/>
      <c r="H74" s="37"/>
      <c r="I74" s="37"/>
      <c r="J74" s="37" t="str">
        <f t="shared" si="14"/>
        <v/>
      </c>
      <c r="K74" s="38" t="str">
        <f t="shared" si="15"/>
        <v/>
      </c>
      <c r="L74" s="38" t="str">
        <f t="shared" si="16"/>
        <v/>
      </c>
      <c r="M74" s="33" t="str">
        <f t="shared" si="17"/>
        <v/>
      </c>
      <c r="N74" s="33" t="str">
        <f t="shared" si="18"/>
        <v/>
      </c>
      <c r="O74" s="34"/>
      <c r="P74" s="35"/>
    </row>
    <row r="75" spans="1:16" s="26" customFormat="1" ht="21.75" customHeight="1">
      <c r="A75" s="33">
        <v>62</v>
      </c>
      <c r="B75" s="36"/>
      <c r="C75" s="37"/>
      <c r="D75" s="37"/>
      <c r="E75" s="37"/>
      <c r="F75" s="37"/>
      <c r="G75" s="37"/>
      <c r="H75" s="37"/>
      <c r="I75" s="37"/>
      <c r="J75" s="37" t="str">
        <f t="shared" si="14"/>
        <v/>
      </c>
      <c r="K75" s="38" t="str">
        <f t="shared" si="15"/>
        <v/>
      </c>
      <c r="L75" s="38" t="str">
        <f t="shared" si="16"/>
        <v/>
      </c>
      <c r="M75" s="33" t="str">
        <f t="shared" si="17"/>
        <v/>
      </c>
      <c r="N75" s="33" t="str">
        <f t="shared" si="18"/>
        <v/>
      </c>
      <c r="O75" s="34"/>
      <c r="P75" s="35"/>
    </row>
    <row r="76" spans="1:16" s="26" customFormat="1" ht="21.75" customHeight="1">
      <c r="A76" s="33">
        <v>63</v>
      </c>
      <c r="B76" s="36"/>
      <c r="C76" s="37"/>
      <c r="D76" s="37"/>
      <c r="E76" s="37"/>
      <c r="F76" s="37"/>
      <c r="G76" s="37"/>
      <c r="H76" s="37"/>
      <c r="I76" s="37"/>
      <c r="J76" s="37" t="str">
        <f t="shared" si="14"/>
        <v/>
      </c>
      <c r="K76" s="38" t="str">
        <f t="shared" si="15"/>
        <v/>
      </c>
      <c r="L76" s="38" t="str">
        <f t="shared" si="16"/>
        <v/>
      </c>
      <c r="M76" s="33" t="str">
        <f t="shared" si="17"/>
        <v/>
      </c>
      <c r="N76" s="33" t="str">
        <f t="shared" si="18"/>
        <v/>
      </c>
      <c r="O76" s="34"/>
      <c r="P76" s="35"/>
    </row>
    <row r="77" spans="1:16" s="26" customFormat="1" ht="21.75" customHeight="1">
      <c r="A77" s="33">
        <v>64</v>
      </c>
      <c r="B77" s="36"/>
      <c r="C77" s="37"/>
      <c r="D77" s="37"/>
      <c r="E77" s="37"/>
      <c r="F77" s="37"/>
      <c r="G77" s="37"/>
      <c r="H77" s="37"/>
      <c r="I77" s="37"/>
      <c r="J77" s="37" t="str">
        <f t="shared" si="14"/>
        <v/>
      </c>
      <c r="K77" s="38" t="str">
        <f t="shared" si="15"/>
        <v/>
      </c>
      <c r="L77" s="38" t="str">
        <f t="shared" si="16"/>
        <v/>
      </c>
      <c r="M77" s="33" t="str">
        <f t="shared" si="17"/>
        <v/>
      </c>
      <c r="N77" s="33" t="str">
        <f t="shared" si="18"/>
        <v/>
      </c>
      <c r="O77" s="34"/>
      <c r="P77" s="35"/>
    </row>
    <row r="78" spans="1:16" s="26" customFormat="1" ht="21.75" customHeight="1">
      <c r="A78" s="33">
        <v>65</v>
      </c>
      <c r="B78" s="36"/>
      <c r="C78" s="37"/>
      <c r="D78" s="37"/>
      <c r="E78" s="37"/>
      <c r="F78" s="37"/>
      <c r="G78" s="37"/>
      <c r="H78" s="37"/>
      <c r="I78" s="37"/>
      <c r="J78" s="37" t="str">
        <f t="shared" si="14"/>
        <v/>
      </c>
      <c r="K78" s="38" t="str">
        <f t="shared" si="15"/>
        <v/>
      </c>
      <c r="L78" s="38" t="str">
        <f t="shared" si="16"/>
        <v/>
      </c>
      <c r="M78" s="33" t="str">
        <f t="shared" si="17"/>
        <v/>
      </c>
      <c r="N78" s="33" t="str">
        <f t="shared" si="18"/>
        <v/>
      </c>
      <c r="O78" s="34" t="str">
        <f t="shared" ref="O78:O113" si="19">IF($B78="","",IF(OR($M78="ফেল",$M78="অনুপস্থিত",$M78="অসম্পূর্ণ"),"",1+SUMPRODUCT(($P$14:$P$113&lt;&gt;"")*($P$14:$P$113&gt;$P78)/COUNTIF($P$14:$P$113,$P$14:$P$113))))</f>
        <v/>
      </c>
      <c r="P78" s="35" t="str">
        <f t="shared" ref="P78:P113" si="20">IF($B78="","",IF(OR($M78="ফেল",$M78="অনুপস্থিত",$M78="অসম্পূর্ণ"),"",$K78))</f>
        <v/>
      </c>
    </row>
    <row r="79" spans="1:16" s="26" customFormat="1" ht="21.75" customHeight="1">
      <c r="A79" s="33">
        <v>66</v>
      </c>
      <c r="B79" s="36"/>
      <c r="C79" s="37"/>
      <c r="D79" s="37"/>
      <c r="E79" s="37"/>
      <c r="F79" s="37"/>
      <c r="G79" s="37"/>
      <c r="H79" s="37"/>
      <c r="I79" s="37"/>
      <c r="J79" s="37" t="str">
        <f t="shared" si="14"/>
        <v/>
      </c>
      <c r="K79" s="38" t="str">
        <f t="shared" si="15"/>
        <v/>
      </c>
      <c r="L79" s="38" t="str">
        <f t="shared" si="16"/>
        <v/>
      </c>
      <c r="M79" s="33" t="str">
        <f t="shared" si="17"/>
        <v/>
      </c>
      <c r="N79" s="33" t="str">
        <f t="shared" si="18"/>
        <v/>
      </c>
      <c r="O79" s="34" t="str">
        <f t="shared" si="19"/>
        <v/>
      </c>
      <c r="P79" s="35" t="str">
        <f t="shared" si="20"/>
        <v/>
      </c>
    </row>
    <row r="80" spans="1:16" s="26" customFormat="1" ht="21.75" customHeight="1">
      <c r="A80" s="33">
        <v>67</v>
      </c>
      <c r="B80" s="36"/>
      <c r="C80" s="37"/>
      <c r="D80" s="37"/>
      <c r="E80" s="37"/>
      <c r="F80" s="37"/>
      <c r="G80" s="37"/>
      <c r="H80" s="37"/>
      <c r="I80" s="37"/>
      <c r="J80" s="37" t="str">
        <f t="shared" si="14"/>
        <v/>
      </c>
      <c r="K80" s="38" t="str">
        <f t="shared" si="15"/>
        <v/>
      </c>
      <c r="L80" s="38" t="str">
        <f t="shared" si="16"/>
        <v/>
      </c>
      <c r="M80" s="33" t="str">
        <f t="shared" si="17"/>
        <v/>
      </c>
      <c r="N80" s="33" t="str">
        <f t="shared" si="18"/>
        <v/>
      </c>
      <c r="O80" s="34" t="str">
        <f t="shared" si="19"/>
        <v/>
      </c>
      <c r="P80" s="35" t="str">
        <f t="shared" si="20"/>
        <v/>
      </c>
    </row>
    <row r="81" spans="1:16" s="26" customFormat="1" ht="21.75" customHeight="1">
      <c r="A81" s="33">
        <v>68</v>
      </c>
      <c r="B81" s="36"/>
      <c r="C81" s="37"/>
      <c r="D81" s="37"/>
      <c r="E81" s="37"/>
      <c r="F81" s="37"/>
      <c r="G81" s="37"/>
      <c r="H81" s="37"/>
      <c r="I81" s="37"/>
      <c r="J81" s="37" t="str">
        <f t="shared" si="14"/>
        <v/>
      </c>
      <c r="K81" s="38" t="str">
        <f t="shared" si="15"/>
        <v/>
      </c>
      <c r="L81" s="38" t="str">
        <f t="shared" si="16"/>
        <v/>
      </c>
      <c r="M81" s="33" t="str">
        <f t="shared" si="17"/>
        <v/>
      </c>
      <c r="N81" s="33" t="str">
        <f t="shared" si="18"/>
        <v/>
      </c>
      <c r="O81" s="34" t="str">
        <f t="shared" si="19"/>
        <v/>
      </c>
      <c r="P81" s="35" t="str">
        <f t="shared" si="20"/>
        <v/>
      </c>
    </row>
    <row r="82" spans="1:16" s="26" customFormat="1" ht="21.75" customHeight="1">
      <c r="A82" s="33">
        <v>69</v>
      </c>
      <c r="B82" s="36"/>
      <c r="C82" s="37"/>
      <c r="D82" s="37"/>
      <c r="E82" s="37"/>
      <c r="F82" s="37"/>
      <c r="G82" s="37"/>
      <c r="H82" s="37"/>
      <c r="I82" s="37"/>
      <c r="J82" s="37" t="str">
        <f t="shared" si="14"/>
        <v/>
      </c>
      <c r="K82" s="38" t="str">
        <f t="shared" si="15"/>
        <v/>
      </c>
      <c r="L82" s="38" t="str">
        <f t="shared" si="16"/>
        <v/>
      </c>
      <c r="M82" s="33" t="str">
        <f t="shared" si="17"/>
        <v/>
      </c>
      <c r="N82" s="33" t="str">
        <f t="shared" si="18"/>
        <v/>
      </c>
      <c r="O82" s="34" t="str">
        <f t="shared" si="19"/>
        <v/>
      </c>
      <c r="P82" s="35" t="str">
        <f t="shared" si="20"/>
        <v/>
      </c>
    </row>
    <row r="83" spans="1:16" s="26" customFormat="1" ht="21.75" customHeight="1">
      <c r="A83" s="33">
        <v>70</v>
      </c>
      <c r="B83" s="36"/>
      <c r="C83" s="37"/>
      <c r="D83" s="37"/>
      <c r="E83" s="37"/>
      <c r="F83" s="37"/>
      <c r="G83" s="37"/>
      <c r="H83" s="37"/>
      <c r="I83" s="37"/>
      <c r="J83" s="37" t="str">
        <f t="shared" si="14"/>
        <v/>
      </c>
      <c r="K83" s="38" t="str">
        <f t="shared" si="15"/>
        <v/>
      </c>
      <c r="L83" s="38" t="str">
        <f t="shared" si="16"/>
        <v/>
      </c>
      <c r="M83" s="33" t="str">
        <f t="shared" si="17"/>
        <v/>
      </c>
      <c r="N83" s="33" t="str">
        <f t="shared" si="18"/>
        <v/>
      </c>
      <c r="O83" s="34" t="str">
        <f t="shared" si="19"/>
        <v/>
      </c>
      <c r="P83" s="35" t="str">
        <f t="shared" si="20"/>
        <v/>
      </c>
    </row>
    <row r="84" spans="1:16" s="26" customFormat="1" ht="21.75" customHeight="1">
      <c r="A84" s="33">
        <v>71</v>
      </c>
      <c r="B84" s="36"/>
      <c r="C84" s="37"/>
      <c r="D84" s="37"/>
      <c r="E84" s="37"/>
      <c r="F84" s="37"/>
      <c r="G84" s="37"/>
      <c r="H84" s="37"/>
      <c r="I84" s="37"/>
      <c r="J84" s="37" t="str">
        <f t="shared" si="14"/>
        <v/>
      </c>
      <c r="K84" s="38" t="str">
        <f t="shared" si="15"/>
        <v/>
      </c>
      <c r="L84" s="38" t="str">
        <f t="shared" si="16"/>
        <v/>
      </c>
      <c r="M84" s="33" t="str">
        <f t="shared" si="17"/>
        <v/>
      </c>
      <c r="N84" s="33" t="str">
        <f t="shared" si="18"/>
        <v/>
      </c>
      <c r="O84" s="34" t="str">
        <f t="shared" si="19"/>
        <v/>
      </c>
      <c r="P84" s="35" t="str">
        <f t="shared" si="20"/>
        <v/>
      </c>
    </row>
    <row r="85" spans="1:16" s="26" customFormat="1" ht="21.75" customHeight="1">
      <c r="A85" s="33">
        <v>72</v>
      </c>
      <c r="B85" s="36"/>
      <c r="C85" s="37"/>
      <c r="D85" s="37"/>
      <c r="E85" s="37"/>
      <c r="F85" s="37"/>
      <c r="G85" s="37"/>
      <c r="H85" s="37"/>
      <c r="I85" s="37"/>
      <c r="J85" s="37" t="str">
        <f t="shared" si="14"/>
        <v/>
      </c>
      <c r="K85" s="38" t="str">
        <f t="shared" si="15"/>
        <v/>
      </c>
      <c r="L85" s="38" t="str">
        <f t="shared" si="16"/>
        <v/>
      </c>
      <c r="M85" s="33" t="str">
        <f t="shared" si="17"/>
        <v/>
      </c>
      <c r="N85" s="33" t="str">
        <f t="shared" si="18"/>
        <v/>
      </c>
      <c r="O85" s="34" t="str">
        <f t="shared" si="19"/>
        <v/>
      </c>
      <c r="P85" s="35" t="str">
        <f t="shared" si="20"/>
        <v/>
      </c>
    </row>
    <row r="86" spans="1:16" s="26" customFormat="1" ht="21.75" customHeight="1">
      <c r="A86" s="33">
        <v>73</v>
      </c>
      <c r="B86" s="36"/>
      <c r="C86" s="37"/>
      <c r="D86" s="37"/>
      <c r="E86" s="37"/>
      <c r="F86" s="37"/>
      <c r="G86" s="37"/>
      <c r="H86" s="37"/>
      <c r="I86" s="37"/>
      <c r="J86" s="37" t="str">
        <f t="shared" si="14"/>
        <v/>
      </c>
      <c r="K86" s="38" t="str">
        <f t="shared" si="15"/>
        <v/>
      </c>
      <c r="L86" s="38" t="str">
        <f t="shared" si="16"/>
        <v/>
      </c>
      <c r="M86" s="33" t="str">
        <f t="shared" si="17"/>
        <v/>
      </c>
      <c r="N86" s="33" t="str">
        <f t="shared" si="18"/>
        <v/>
      </c>
      <c r="O86" s="34" t="str">
        <f t="shared" si="19"/>
        <v/>
      </c>
      <c r="P86" s="35" t="str">
        <f t="shared" si="20"/>
        <v/>
      </c>
    </row>
    <row r="87" spans="1:16" s="26" customFormat="1" ht="21.75" customHeight="1">
      <c r="A87" s="33">
        <v>74</v>
      </c>
      <c r="B87" s="36"/>
      <c r="C87" s="37"/>
      <c r="D87" s="37"/>
      <c r="E87" s="37"/>
      <c r="F87" s="37"/>
      <c r="G87" s="37"/>
      <c r="H87" s="37"/>
      <c r="I87" s="37"/>
      <c r="J87" s="37" t="str">
        <f t="shared" si="14"/>
        <v/>
      </c>
      <c r="K87" s="38" t="str">
        <f t="shared" si="15"/>
        <v/>
      </c>
      <c r="L87" s="38" t="str">
        <f t="shared" si="16"/>
        <v/>
      </c>
      <c r="M87" s="33" t="str">
        <f t="shared" si="17"/>
        <v/>
      </c>
      <c r="N87" s="33" t="str">
        <f t="shared" si="18"/>
        <v/>
      </c>
      <c r="O87" s="34" t="str">
        <f t="shared" si="19"/>
        <v/>
      </c>
      <c r="P87" s="35" t="str">
        <f t="shared" si="20"/>
        <v/>
      </c>
    </row>
    <row r="88" spans="1:16" s="26" customFormat="1" ht="21.75" customHeight="1">
      <c r="A88" s="33">
        <v>75</v>
      </c>
      <c r="B88" s="36"/>
      <c r="C88" s="37"/>
      <c r="D88" s="37"/>
      <c r="E88" s="37"/>
      <c r="F88" s="37"/>
      <c r="G88" s="37"/>
      <c r="H88" s="37"/>
      <c r="I88" s="37"/>
      <c r="J88" s="37" t="str">
        <f t="shared" si="14"/>
        <v/>
      </c>
      <c r="K88" s="38" t="str">
        <f t="shared" si="15"/>
        <v/>
      </c>
      <c r="L88" s="38" t="str">
        <f t="shared" si="16"/>
        <v/>
      </c>
      <c r="M88" s="33" t="str">
        <f t="shared" si="17"/>
        <v/>
      </c>
      <c r="N88" s="33" t="str">
        <f t="shared" si="18"/>
        <v/>
      </c>
      <c r="O88" s="34" t="str">
        <f t="shared" si="19"/>
        <v/>
      </c>
      <c r="P88" s="35" t="str">
        <f t="shared" si="20"/>
        <v/>
      </c>
    </row>
    <row r="89" spans="1:16" s="26" customFormat="1" ht="21.75" customHeight="1">
      <c r="A89" s="33">
        <v>76</v>
      </c>
      <c r="B89" s="36"/>
      <c r="C89" s="37"/>
      <c r="D89" s="37"/>
      <c r="E89" s="37"/>
      <c r="F89" s="37"/>
      <c r="G89" s="37"/>
      <c r="H89" s="37"/>
      <c r="I89" s="37"/>
      <c r="J89" s="37" t="str">
        <f t="shared" si="14"/>
        <v/>
      </c>
      <c r="K89" s="38" t="str">
        <f t="shared" si="15"/>
        <v/>
      </c>
      <c r="L89" s="38" t="str">
        <f t="shared" si="16"/>
        <v/>
      </c>
      <c r="M89" s="33" t="str">
        <f t="shared" si="17"/>
        <v/>
      </c>
      <c r="N89" s="33" t="str">
        <f t="shared" si="18"/>
        <v/>
      </c>
      <c r="O89" s="34" t="str">
        <f t="shared" si="19"/>
        <v/>
      </c>
      <c r="P89" s="35" t="str">
        <f t="shared" si="20"/>
        <v/>
      </c>
    </row>
    <row r="90" spans="1:16" s="26" customFormat="1" ht="21.75" customHeight="1">
      <c r="A90" s="33">
        <v>77</v>
      </c>
      <c r="B90" s="36"/>
      <c r="C90" s="37"/>
      <c r="D90" s="37"/>
      <c r="E90" s="37"/>
      <c r="F90" s="37"/>
      <c r="G90" s="37"/>
      <c r="H90" s="37"/>
      <c r="I90" s="37"/>
      <c r="J90" s="37" t="str">
        <f t="shared" si="14"/>
        <v/>
      </c>
      <c r="K90" s="38" t="str">
        <f t="shared" si="15"/>
        <v/>
      </c>
      <c r="L90" s="38" t="str">
        <f t="shared" si="16"/>
        <v/>
      </c>
      <c r="M90" s="33" t="str">
        <f t="shared" si="17"/>
        <v/>
      </c>
      <c r="N90" s="33" t="str">
        <f t="shared" si="18"/>
        <v/>
      </c>
      <c r="O90" s="34" t="str">
        <f t="shared" si="19"/>
        <v/>
      </c>
      <c r="P90" s="35" t="str">
        <f t="shared" si="20"/>
        <v/>
      </c>
    </row>
    <row r="91" spans="1:16" s="26" customFormat="1" ht="21.75" customHeight="1">
      <c r="A91" s="33">
        <v>78</v>
      </c>
      <c r="B91" s="36"/>
      <c r="C91" s="37"/>
      <c r="D91" s="37"/>
      <c r="E91" s="37"/>
      <c r="F91" s="37"/>
      <c r="G91" s="37"/>
      <c r="H91" s="37"/>
      <c r="I91" s="37"/>
      <c r="J91" s="37" t="str">
        <f t="shared" si="14"/>
        <v/>
      </c>
      <c r="K91" s="38" t="str">
        <f t="shared" si="15"/>
        <v/>
      </c>
      <c r="L91" s="38" t="str">
        <f t="shared" si="16"/>
        <v/>
      </c>
      <c r="M91" s="33" t="str">
        <f t="shared" si="17"/>
        <v/>
      </c>
      <c r="N91" s="33" t="str">
        <f t="shared" si="18"/>
        <v/>
      </c>
      <c r="O91" s="34" t="str">
        <f t="shared" si="19"/>
        <v/>
      </c>
      <c r="P91" s="35" t="str">
        <f t="shared" si="20"/>
        <v/>
      </c>
    </row>
    <row r="92" spans="1:16" s="26" customFormat="1" ht="21.75" customHeight="1">
      <c r="A92" s="33">
        <v>79</v>
      </c>
      <c r="B92" s="36"/>
      <c r="C92" s="37"/>
      <c r="D92" s="37"/>
      <c r="E92" s="37"/>
      <c r="F92" s="37"/>
      <c r="G92" s="37"/>
      <c r="H92" s="37"/>
      <c r="I92" s="37"/>
      <c r="J92" s="37" t="str">
        <f t="shared" si="14"/>
        <v/>
      </c>
      <c r="K92" s="38" t="str">
        <f t="shared" si="15"/>
        <v/>
      </c>
      <c r="L92" s="38" t="str">
        <f t="shared" si="16"/>
        <v/>
      </c>
      <c r="M92" s="33" t="str">
        <f t="shared" si="17"/>
        <v/>
      </c>
      <c r="N92" s="33" t="str">
        <f t="shared" si="18"/>
        <v/>
      </c>
      <c r="O92" s="34" t="str">
        <f t="shared" si="19"/>
        <v/>
      </c>
      <c r="P92" s="35" t="str">
        <f t="shared" si="20"/>
        <v/>
      </c>
    </row>
    <row r="93" spans="1:16" s="26" customFormat="1" ht="21.75" customHeight="1">
      <c r="A93" s="33">
        <v>80</v>
      </c>
      <c r="B93" s="36"/>
      <c r="C93" s="37"/>
      <c r="D93" s="37"/>
      <c r="E93" s="37"/>
      <c r="F93" s="37"/>
      <c r="G93" s="37"/>
      <c r="H93" s="37"/>
      <c r="I93" s="37"/>
      <c r="J93" s="37" t="str">
        <f t="shared" si="14"/>
        <v/>
      </c>
      <c r="K93" s="38" t="str">
        <f t="shared" si="15"/>
        <v/>
      </c>
      <c r="L93" s="38" t="str">
        <f t="shared" si="16"/>
        <v/>
      </c>
      <c r="M93" s="33" t="str">
        <f t="shared" si="17"/>
        <v/>
      </c>
      <c r="N93" s="33" t="str">
        <f t="shared" si="18"/>
        <v/>
      </c>
      <c r="O93" s="34" t="str">
        <f t="shared" si="19"/>
        <v/>
      </c>
      <c r="P93" s="35" t="str">
        <f t="shared" si="20"/>
        <v/>
      </c>
    </row>
    <row r="94" spans="1:16" s="26" customFormat="1" ht="21.75" customHeight="1">
      <c r="A94" s="33">
        <v>81</v>
      </c>
      <c r="B94" s="36"/>
      <c r="C94" s="37"/>
      <c r="D94" s="37"/>
      <c r="E94" s="37"/>
      <c r="F94" s="37"/>
      <c r="G94" s="37"/>
      <c r="H94" s="37"/>
      <c r="I94" s="37"/>
      <c r="J94" s="37" t="str">
        <f t="shared" si="14"/>
        <v/>
      </c>
      <c r="K94" s="38" t="str">
        <f t="shared" si="15"/>
        <v/>
      </c>
      <c r="L94" s="38" t="str">
        <f t="shared" si="16"/>
        <v/>
      </c>
      <c r="M94" s="33" t="str">
        <f t="shared" si="17"/>
        <v/>
      </c>
      <c r="N94" s="33" t="str">
        <f t="shared" si="18"/>
        <v/>
      </c>
      <c r="O94" s="34" t="str">
        <f t="shared" si="19"/>
        <v/>
      </c>
      <c r="P94" s="35" t="str">
        <f t="shared" si="20"/>
        <v/>
      </c>
    </row>
    <row r="95" spans="1:16" s="26" customFormat="1" ht="21.75" customHeight="1">
      <c r="A95" s="33">
        <v>82</v>
      </c>
      <c r="B95" s="36"/>
      <c r="C95" s="37"/>
      <c r="D95" s="37"/>
      <c r="E95" s="37"/>
      <c r="F95" s="37"/>
      <c r="G95" s="37"/>
      <c r="H95" s="37"/>
      <c r="I95" s="37"/>
      <c r="J95" s="37" t="str">
        <f t="shared" si="14"/>
        <v/>
      </c>
      <c r="K95" s="38" t="str">
        <f t="shared" si="15"/>
        <v/>
      </c>
      <c r="L95" s="38" t="str">
        <f t="shared" si="16"/>
        <v/>
      </c>
      <c r="M95" s="33" t="str">
        <f t="shared" si="17"/>
        <v/>
      </c>
      <c r="N95" s="33" t="str">
        <f t="shared" si="18"/>
        <v/>
      </c>
      <c r="O95" s="34" t="str">
        <f t="shared" si="19"/>
        <v/>
      </c>
      <c r="P95" s="35" t="str">
        <f t="shared" si="20"/>
        <v/>
      </c>
    </row>
    <row r="96" spans="1:16" s="26" customFormat="1" ht="21.75" customHeight="1">
      <c r="A96" s="33">
        <v>83</v>
      </c>
      <c r="B96" s="36"/>
      <c r="C96" s="37"/>
      <c r="D96" s="37"/>
      <c r="E96" s="37"/>
      <c r="F96" s="37"/>
      <c r="G96" s="37"/>
      <c r="H96" s="37"/>
      <c r="I96" s="37"/>
      <c r="J96" s="37" t="str">
        <f t="shared" si="14"/>
        <v/>
      </c>
      <c r="K96" s="38" t="str">
        <f t="shared" si="15"/>
        <v/>
      </c>
      <c r="L96" s="38" t="str">
        <f t="shared" si="16"/>
        <v/>
      </c>
      <c r="M96" s="33" t="str">
        <f t="shared" si="17"/>
        <v/>
      </c>
      <c r="N96" s="33" t="str">
        <f t="shared" si="18"/>
        <v/>
      </c>
      <c r="O96" s="34" t="str">
        <f t="shared" si="19"/>
        <v/>
      </c>
      <c r="P96" s="35" t="str">
        <f t="shared" si="20"/>
        <v/>
      </c>
    </row>
    <row r="97" spans="1:16" s="26" customFormat="1" ht="21.75" customHeight="1">
      <c r="A97" s="33">
        <v>84</v>
      </c>
      <c r="B97" s="36"/>
      <c r="C97" s="37"/>
      <c r="D97" s="37"/>
      <c r="E97" s="37"/>
      <c r="F97" s="37"/>
      <c r="G97" s="37"/>
      <c r="H97" s="37"/>
      <c r="I97" s="37"/>
      <c r="J97" s="37" t="str">
        <f t="shared" si="14"/>
        <v/>
      </c>
      <c r="K97" s="38" t="str">
        <f t="shared" si="15"/>
        <v/>
      </c>
      <c r="L97" s="38" t="str">
        <f t="shared" si="16"/>
        <v/>
      </c>
      <c r="M97" s="33" t="str">
        <f t="shared" si="17"/>
        <v/>
      </c>
      <c r="N97" s="33" t="str">
        <f t="shared" si="18"/>
        <v/>
      </c>
      <c r="O97" s="34" t="str">
        <f t="shared" si="19"/>
        <v/>
      </c>
      <c r="P97" s="35" t="str">
        <f t="shared" si="20"/>
        <v/>
      </c>
    </row>
    <row r="98" spans="1:16" s="26" customFormat="1" ht="21.75" customHeight="1">
      <c r="A98" s="33">
        <v>85</v>
      </c>
      <c r="B98" s="36"/>
      <c r="C98" s="37"/>
      <c r="D98" s="37"/>
      <c r="E98" s="37"/>
      <c r="F98" s="37"/>
      <c r="G98" s="37"/>
      <c r="H98" s="37"/>
      <c r="I98" s="37"/>
      <c r="J98" s="37" t="str">
        <f t="shared" si="14"/>
        <v/>
      </c>
      <c r="K98" s="38" t="str">
        <f t="shared" si="15"/>
        <v/>
      </c>
      <c r="L98" s="38" t="str">
        <f t="shared" si="16"/>
        <v/>
      </c>
      <c r="M98" s="33" t="str">
        <f t="shared" si="17"/>
        <v/>
      </c>
      <c r="N98" s="33" t="str">
        <f t="shared" si="18"/>
        <v/>
      </c>
      <c r="O98" s="34" t="str">
        <f t="shared" si="19"/>
        <v/>
      </c>
      <c r="P98" s="35" t="str">
        <f t="shared" si="20"/>
        <v/>
      </c>
    </row>
    <row r="99" spans="1:16" s="26" customFormat="1" ht="21.75" customHeight="1">
      <c r="A99" s="33">
        <v>86</v>
      </c>
      <c r="B99" s="36"/>
      <c r="C99" s="37"/>
      <c r="D99" s="37"/>
      <c r="E99" s="37"/>
      <c r="F99" s="37"/>
      <c r="G99" s="37"/>
      <c r="H99" s="37"/>
      <c r="I99" s="37"/>
      <c r="J99" s="37" t="str">
        <f t="shared" si="14"/>
        <v/>
      </c>
      <c r="K99" s="38" t="str">
        <f t="shared" si="15"/>
        <v/>
      </c>
      <c r="L99" s="38" t="str">
        <f t="shared" si="16"/>
        <v/>
      </c>
      <c r="M99" s="33" t="str">
        <f t="shared" si="17"/>
        <v/>
      </c>
      <c r="N99" s="33" t="str">
        <f t="shared" si="18"/>
        <v/>
      </c>
      <c r="O99" s="34" t="str">
        <f t="shared" si="19"/>
        <v/>
      </c>
      <c r="P99" s="35" t="str">
        <f t="shared" si="20"/>
        <v/>
      </c>
    </row>
    <row r="100" spans="1:16" s="26" customFormat="1" ht="21.75" customHeight="1">
      <c r="A100" s="33">
        <v>87</v>
      </c>
      <c r="B100" s="36"/>
      <c r="C100" s="37"/>
      <c r="D100" s="37"/>
      <c r="E100" s="37"/>
      <c r="F100" s="37"/>
      <c r="G100" s="37"/>
      <c r="H100" s="37"/>
      <c r="I100" s="37"/>
      <c r="J100" s="37" t="str">
        <f t="shared" si="14"/>
        <v/>
      </c>
      <c r="K100" s="38" t="str">
        <f t="shared" si="15"/>
        <v/>
      </c>
      <c r="L100" s="38" t="str">
        <f t="shared" si="16"/>
        <v/>
      </c>
      <c r="M100" s="33" t="str">
        <f t="shared" si="17"/>
        <v/>
      </c>
      <c r="N100" s="33" t="str">
        <f t="shared" si="18"/>
        <v/>
      </c>
      <c r="O100" s="34" t="str">
        <f t="shared" si="19"/>
        <v/>
      </c>
      <c r="P100" s="35" t="str">
        <f t="shared" si="20"/>
        <v/>
      </c>
    </row>
    <row r="101" spans="1:16" s="26" customFormat="1" ht="21.75" customHeight="1">
      <c r="A101" s="33">
        <v>88</v>
      </c>
      <c r="B101" s="36"/>
      <c r="C101" s="37"/>
      <c r="D101" s="37"/>
      <c r="E101" s="37"/>
      <c r="F101" s="37"/>
      <c r="G101" s="37"/>
      <c r="H101" s="37"/>
      <c r="I101" s="37"/>
      <c r="J101" s="37" t="str">
        <f t="shared" si="14"/>
        <v/>
      </c>
      <c r="K101" s="38" t="str">
        <f t="shared" si="15"/>
        <v/>
      </c>
      <c r="L101" s="38" t="str">
        <f t="shared" si="16"/>
        <v/>
      </c>
      <c r="M101" s="33" t="str">
        <f t="shared" si="17"/>
        <v/>
      </c>
      <c r="N101" s="33" t="str">
        <f t="shared" si="18"/>
        <v/>
      </c>
      <c r="O101" s="34" t="str">
        <f t="shared" si="19"/>
        <v/>
      </c>
      <c r="P101" s="35" t="str">
        <f t="shared" si="20"/>
        <v/>
      </c>
    </row>
    <row r="102" spans="1:16" s="26" customFormat="1" ht="21.75" customHeight="1">
      <c r="A102" s="33">
        <v>89</v>
      </c>
      <c r="B102" s="36"/>
      <c r="C102" s="37"/>
      <c r="D102" s="37"/>
      <c r="E102" s="37"/>
      <c r="F102" s="37"/>
      <c r="G102" s="37"/>
      <c r="H102" s="37"/>
      <c r="I102" s="37"/>
      <c r="J102" s="37" t="str">
        <f t="shared" si="14"/>
        <v/>
      </c>
      <c r="K102" s="38" t="str">
        <f t="shared" si="15"/>
        <v/>
      </c>
      <c r="L102" s="38" t="str">
        <f t="shared" si="16"/>
        <v/>
      </c>
      <c r="M102" s="33" t="str">
        <f t="shared" si="17"/>
        <v/>
      </c>
      <c r="N102" s="33" t="str">
        <f t="shared" si="18"/>
        <v/>
      </c>
      <c r="O102" s="34" t="str">
        <f t="shared" si="19"/>
        <v/>
      </c>
      <c r="P102" s="35" t="str">
        <f t="shared" si="20"/>
        <v/>
      </c>
    </row>
    <row r="103" spans="1:16" s="26" customFormat="1" ht="21.75" customHeight="1">
      <c r="A103" s="33">
        <v>90</v>
      </c>
      <c r="B103" s="36"/>
      <c r="C103" s="37"/>
      <c r="D103" s="37"/>
      <c r="E103" s="37"/>
      <c r="F103" s="37"/>
      <c r="G103" s="37"/>
      <c r="H103" s="37"/>
      <c r="I103" s="37"/>
      <c r="J103" s="37" t="str">
        <f t="shared" si="14"/>
        <v/>
      </c>
      <c r="K103" s="38" t="str">
        <f t="shared" si="15"/>
        <v/>
      </c>
      <c r="L103" s="38" t="str">
        <f t="shared" si="16"/>
        <v/>
      </c>
      <c r="M103" s="33" t="str">
        <f t="shared" si="17"/>
        <v/>
      </c>
      <c r="N103" s="33" t="str">
        <f t="shared" si="18"/>
        <v/>
      </c>
      <c r="O103" s="34" t="str">
        <f t="shared" si="19"/>
        <v/>
      </c>
      <c r="P103" s="35" t="str">
        <f t="shared" si="20"/>
        <v/>
      </c>
    </row>
    <row r="104" spans="1:16" s="26" customFormat="1" ht="21.75" customHeight="1">
      <c r="A104" s="33">
        <v>91</v>
      </c>
      <c r="B104" s="36"/>
      <c r="C104" s="37"/>
      <c r="D104" s="37"/>
      <c r="E104" s="37"/>
      <c r="F104" s="37"/>
      <c r="G104" s="37"/>
      <c r="H104" s="37"/>
      <c r="I104" s="37"/>
      <c r="J104" s="37" t="str">
        <f t="shared" si="14"/>
        <v/>
      </c>
      <c r="K104" s="38" t="str">
        <f t="shared" si="15"/>
        <v/>
      </c>
      <c r="L104" s="38" t="str">
        <f t="shared" si="16"/>
        <v/>
      </c>
      <c r="M104" s="33" t="str">
        <f t="shared" si="17"/>
        <v/>
      </c>
      <c r="N104" s="33" t="str">
        <f t="shared" si="18"/>
        <v/>
      </c>
      <c r="O104" s="34" t="str">
        <f t="shared" si="19"/>
        <v/>
      </c>
      <c r="P104" s="35" t="str">
        <f t="shared" si="20"/>
        <v/>
      </c>
    </row>
    <row r="105" spans="1:16" s="26" customFormat="1" ht="21.75" customHeight="1">
      <c r="A105" s="33">
        <v>92</v>
      </c>
      <c r="B105" s="36"/>
      <c r="C105" s="37"/>
      <c r="D105" s="37"/>
      <c r="E105" s="37"/>
      <c r="F105" s="37"/>
      <c r="G105" s="37"/>
      <c r="H105" s="37"/>
      <c r="I105" s="37"/>
      <c r="J105" s="37" t="str">
        <f t="shared" si="14"/>
        <v/>
      </c>
      <c r="K105" s="38" t="str">
        <f t="shared" si="15"/>
        <v/>
      </c>
      <c r="L105" s="38" t="str">
        <f t="shared" si="16"/>
        <v/>
      </c>
      <c r="M105" s="33" t="str">
        <f t="shared" si="17"/>
        <v/>
      </c>
      <c r="N105" s="33" t="str">
        <f t="shared" si="18"/>
        <v/>
      </c>
      <c r="O105" s="34" t="str">
        <f t="shared" si="19"/>
        <v/>
      </c>
      <c r="P105" s="35" t="str">
        <f t="shared" si="20"/>
        <v/>
      </c>
    </row>
    <row r="106" spans="1:16" s="26" customFormat="1" ht="21.75" customHeight="1">
      <c r="A106" s="33">
        <v>93</v>
      </c>
      <c r="B106" s="36"/>
      <c r="C106" s="37"/>
      <c r="D106" s="37"/>
      <c r="E106" s="37"/>
      <c r="F106" s="37"/>
      <c r="G106" s="37"/>
      <c r="H106" s="37"/>
      <c r="I106" s="37"/>
      <c r="J106" s="37" t="str">
        <f t="shared" si="14"/>
        <v/>
      </c>
      <c r="K106" s="38" t="str">
        <f t="shared" si="15"/>
        <v/>
      </c>
      <c r="L106" s="38" t="str">
        <f t="shared" si="16"/>
        <v/>
      </c>
      <c r="M106" s="33" t="str">
        <f t="shared" si="17"/>
        <v/>
      </c>
      <c r="N106" s="33" t="str">
        <f t="shared" si="18"/>
        <v/>
      </c>
      <c r="O106" s="34" t="str">
        <f t="shared" si="19"/>
        <v/>
      </c>
      <c r="P106" s="35" t="str">
        <f t="shared" si="20"/>
        <v/>
      </c>
    </row>
    <row r="107" spans="1:16" s="26" customFormat="1" ht="21.75" customHeight="1">
      <c r="A107" s="33">
        <v>94</v>
      </c>
      <c r="B107" s="36"/>
      <c r="C107" s="37"/>
      <c r="D107" s="37"/>
      <c r="E107" s="37"/>
      <c r="F107" s="37"/>
      <c r="G107" s="37"/>
      <c r="H107" s="37"/>
      <c r="I107" s="37"/>
      <c r="J107" s="37" t="str">
        <f t="shared" si="14"/>
        <v/>
      </c>
      <c r="K107" s="38" t="str">
        <f t="shared" si="15"/>
        <v/>
      </c>
      <c r="L107" s="38" t="str">
        <f t="shared" si="16"/>
        <v/>
      </c>
      <c r="M107" s="33" t="str">
        <f t="shared" si="17"/>
        <v/>
      </c>
      <c r="N107" s="33" t="str">
        <f t="shared" si="18"/>
        <v/>
      </c>
      <c r="O107" s="34" t="str">
        <f t="shared" si="19"/>
        <v/>
      </c>
      <c r="P107" s="35" t="str">
        <f t="shared" si="20"/>
        <v/>
      </c>
    </row>
    <row r="108" spans="1:16" s="26" customFormat="1" ht="21.75" customHeight="1">
      <c r="A108" s="33">
        <v>95</v>
      </c>
      <c r="B108" s="36"/>
      <c r="C108" s="37"/>
      <c r="D108" s="37"/>
      <c r="E108" s="37"/>
      <c r="F108" s="37"/>
      <c r="G108" s="37"/>
      <c r="H108" s="37"/>
      <c r="I108" s="37"/>
      <c r="J108" s="37" t="str">
        <f t="shared" si="14"/>
        <v/>
      </c>
      <c r="K108" s="38" t="str">
        <f t="shared" si="15"/>
        <v/>
      </c>
      <c r="L108" s="38" t="str">
        <f t="shared" si="16"/>
        <v/>
      </c>
      <c r="M108" s="33" t="str">
        <f t="shared" si="17"/>
        <v/>
      </c>
      <c r="N108" s="33" t="str">
        <f t="shared" si="18"/>
        <v/>
      </c>
      <c r="O108" s="34" t="str">
        <f t="shared" si="19"/>
        <v/>
      </c>
      <c r="P108" s="35" t="str">
        <f t="shared" si="20"/>
        <v/>
      </c>
    </row>
    <row r="109" spans="1:16" s="26" customFormat="1" ht="21.75" customHeight="1">
      <c r="A109" s="33">
        <v>96</v>
      </c>
      <c r="B109" s="36"/>
      <c r="C109" s="37"/>
      <c r="D109" s="37"/>
      <c r="E109" s="37"/>
      <c r="F109" s="37"/>
      <c r="G109" s="37"/>
      <c r="H109" s="37"/>
      <c r="I109" s="37"/>
      <c r="J109" s="37" t="str">
        <f t="shared" si="14"/>
        <v/>
      </c>
      <c r="K109" s="38" t="str">
        <f t="shared" si="15"/>
        <v/>
      </c>
      <c r="L109" s="38" t="str">
        <f t="shared" si="16"/>
        <v/>
      </c>
      <c r="M109" s="33" t="str">
        <f t="shared" si="17"/>
        <v/>
      </c>
      <c r="N109" s="33" t="str">
        <f t="shared" si="18"/>
        <v/>
      </c>
      <c r="O109" s="34" t="str">
        <f t="shared" si="19"/>
        <v/>
      </c>
      <c r="P109" s="35" t="str">
        <f t="shared" si="20"/>
        <v/>
      </c>
    </row>
    <row r="110" spans="1:16" s="26" customFormat="1" ht="21.75" customHeight="1">
      <c r="A110" s="33">
        <v>97</v>
      </c>
      <c r="B110" s="36"/>
      <c r="C110" s="37"/>
      <c r="D110" s="37"/>
      <c r="E110" s="37"/>
      <c r="F110" s="37"/>
      <c r="G110" s="37"/>
      <c r="H110" s="37"/>
      <c r="I110" s="37"/>
      <c r="J110" s="37" t="str">
        <f t="shared" si="14"/>
        <v/>
      </c>
      <c r="K110" s="38" t="str">
        <f t="shared" si="15"/>
        <v/>
      </c>
      <c r="L110" s="38" t="str">
        <f t="shared" si="16"/>
        <v/>
      </c>
      <c r="M110" s="33" t="str">
        <f t="shared" si="17"/>
        <v/>
      </c>
      <c r="N110" s="33" t="str">
        <f t="shared" si="18"/>
        <v/>
      </c>
      <c r="O110" s="34" t="str">
        <f t="shared" si="19"/>
        <v/>
      </c>
      <c r="P110" s="35" t="str">
        <f t="shared" si="20"/>
        <v/>
      </c>
    </row>
    <row r="111" spans="1:16" s="26" customFormat="1" ht="21.75" customHeight="1">
      <c r="A111" s="33">
        <v>98</v>
      </c>
      <c r="B111" s="36"/>
      <c r="C111" s="37"/>
      <c r="D111" s="37"/>
      <c r="E111" s="37"/>
      <c r="F111" s="37"/>
      <c r="G111" s="37"/>
      <c r="H111" s="37"/>
      <c r="I111" s="37"/>
      <c r="J111" s="37" t="str">
        <f t="shared" si="14"/>
        <v/>
      </c>
      <c r="K111" s="38" t="str">
        <f t="shared" si="15"/>
        <v/>
      </c>
      <c r="L111" s="38" t="str">
        <f t="shared" si="16"/>
        <v/>
      </c>
      <c r="M111" s="33" t="str">
        <f t="shared" si="17"/>
        <v/>
      </c>
      <c r="N111" s="33" t="str">
        <f t="shared" si="18"/>
        <v/>
      </c>
      <c r="O111" s="34" t="str">
        <f t="shared" si="19"/>
        <v/>
      </c>
      <c r="P111" s="35" t="str">
        <f t="shared" si="20"/>
        <v/>
      </c>
    </row>
    <row r="112" spans="1:16" s="26" customFormat="1" ht="21.75" customHeight="1">
      <c r="A112" s="33">
        <v>99</v>
      </c>
      <c r="B112" s="36"/>
      <c r="C112" s="37"/>
      <c r="D112" s="37"/>
      <c r="E112" s="37"/>
      <c r="F112" s="37"/>
      <c r="G112" s="37"/>
      <c r="H112" s="37"/>
      <c r="I112" s="37"/>
      <c r="J112" s="37" t="str">
        <f t="shared" si="14"/>
        <v/>
      </c>
      <c r="K112" s="38" t="str">
        <f t="shared" si="15"/>
        <v/>
      </c>
      <c r="L112" s="38" t="str">
        <f t="shared" si="16"/>
        <v/>
      </c>
      <c r="M112" s="33" t="str">
        <f t="shared" si="17"/>
        <v/>
      </c>
      <c r="N112" s="33" t="str">
        <f t="shared" si="18"/>
        <v/>
      </c>
      <c r="O112" s="34" t="str">
        <f t="shared" si="19"/>
        <v/>
      </c>
      <c r="P112" s="35" t="str">
        <f t="shared" si="20"/>
        <v/>
      </c>
    </row>
    <row r="113" spans="1:16" s="26" customFormat="1" ht="21.75" customHeight="1">
      <c r="A113" s="33">
        <v>100</v>
      </c>
      <c r="B113" s="36"/>
      <c r="C113" s="37"/>
      <c r="D113" s="37"/>
      <c r="E113" s="37"/>
      <c r="F113" s="37"/>
      <c r="G113" s="37"/>
      <c r="H113" s="37"/>
      <c r="I113" s="37"/>
      <c r="J113" s="37" t="str">
        <f t="shared" si="14"/>
        <v/>
      </c>
      <c r="K113" s="38" t="str">
        <f t="shared" si="15"/>
        <v/>
      </c>
      <c r="L113" s="38" t="str">
        <f t="shared" si="16"/>
        <v/>
      </c>
      <c r="M113" s="33" t="str">
        <f t="shared" si="17"/>
        <v/>
      </c>
      <c r="N113" s="33" t="str">
        <f t="shared" si="18"/>
        <v/>
      </c>
      <c r="O113" s="34" t="str">
        <f t="shared" si="19"/>
        <v/>
      </c>
      <c r="P113" s="35" t="str">
        <f t="shared" si="20"/>
        <v/>
      </c>
    </row>
    <row r="114" spans="1:16" s="26" customFormat="1" ht="1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</row>
    <row r="115" spans="1:16" s="26" customFormat="1" ht="1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</row>
    <row r="116" spans="1:16" s="26" customFormat="1" ht="15" customHeight="1">
      <c r="A116" s="117" t="s">
        <v>58</v>
      </c>
      <c r="B116" s="117"/>
      <c r="C116" s="117"/>
      <c r="D116" s="117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</row>
    <row r="117" spans="1:16" s="26" customFormat="1" ht="15" customHeight="1">
      <c r="A117" s="40" t="s">
        <v>3</v>
      </c>
      <c r="B117" s="40" t="s">
        <v>4</v>
      </c>
      <c r="C117" s="40">
        <v>5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</row>
    <row r="118" spans="1:16" s="26" customFormat="1" ht="15" customHeight="1">
      <c r="A118" s="40" t="s">
        <v>6</v>
      </c>
      <c r="B118" s="40" t="s">
        <v>7</v>
      </c>
      <c r="C118" s="40">
        <v>4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</row>
    <row r="119" spans="1:16" s="26" customFormat="1" ht="15" customHeight="1">
      <c r="A119" s="40" t="s">
        <v>59</v>
      </c>
      <c r="B119" s="40" t="s">
        <v>9</v>
      </c>
      <c r="C119" s="40">
        <v>3.5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</row>
    <row r="120" spans="1:16" s="26" customFormat="1" ht="15" customHeight="1">
      <c r="A120" s="40" t="s">
        <v>60</v>
      </c>
      <c r="B120" s="40" t="s">
        <v>11</v>
      </c>
      <c r="C120" s="40">
        <v>3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</row>
    <row r="121" spans="1:16" s="26" customFormat="1" ht="15" customHeight="1">
      <c r="A121" s="40" t="s">
        <v>61</v>
      </c>
      <c r="B121" s="40" t="s">
        <v>13</v>
      </c>
      <c r="C121" s="40">
        <v>2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</row>
    <row r="122" spans="1:16" s="26" customFormat="1" ht="15" customHeight="1">
      <c r="A122" s="40" t="s">
        <v>62</v>
      </c>
      <c r="B122" s="40" t="s">
        <v>15</v>
      </c>
      <c r="C122" s="40">
        <v>1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</row>
    <row r="123" spans="1:16" s="26" customFormat="1" ht="15" customHeight="1">
      <c r="A123" s="40" t="s">
        <v>17</v>
      </c>
      <c r="B123" s="40" t="s">
        <v>18</v>
      </c>
      <c r="C123" s="40">
        <v>0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</row>
    <row r="124" spans="1:16" s="26" customFormat="1" ht="15" customHeight="1">
      <c r="A124" s="118" t="s">
        <v>63</v>
      </c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39"/>
      <c r="P124" s="39"/>
    </row>
    <row r="125" spans="1:16" s="26" customFormat="1" ht="1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</row>
  </sheetData>
  <mergeCells count="9">
    <mergeCell ref="A116:D116"/>
    <mergeCell ref="A124:N124"/>
    <mergeCell ref="L1:N1"/>
    <mergeCell ref="L4:N4"/>
    <mergeCell ref="C6:K7"/>
    <mergeCell ref="A10:B11"/>
    <mergeCell ref="D10:F11"/>
    <mergeCell ref="G10:G11"/>
    <mergeCell ref="H10:J11"/>
  </mergeCells>
  <conditionalFormatting sqref="M14:M18">
    <cfRule type="cellIs" dxfId="10" priority="2" operator="equal">
      <formula>"ফেল"</formula>
    </cfRule>
  </conditionalFormatting>
  <conditionalFormatting sqref="M19:M113">
    <cfRule type="cellIs" dxfId="9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3" zoomScale="85" zoomScaleNormal="85" workbookViewId="0">
      <selection activeCell="E13" sqref="E13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11" width="10.7109375" style="1" customWidth="1"/>
    <col min="12" max="12" width="12.85546875" style="1" customWidth="1"/>
    <col min="13" max="13" width="10.7109375" style="1" customWidth="1"/>
    <col min="14" max="14" width="10.140625" style="1" customWidth="1"/>
    <col min="15" max="15" width="11.5703125" style="1" customWidth="1"/>
    <col min="16" max="16" width="10.7109375" style="1" customWidth="1"/>
    <col min="17" max="17" width="10" style="1" hidden="1" customWidth="1"/>
    <col min="18" max="18" width="13" style="1" hidden="1" customWidth="1"/>
  </cols>
  <sheetData>
    <row r="1" spans="1:21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19"/>
      <c r="O1" s="119"/>
      <c r="P1" s="119"/>
    </row>
    <row r="2" spans="1:21" ht="8.25" hidden="1" customHeight="1">
      <c r="A2" s="2"/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5"/>
    </row>
    <row r="3" spans="1:21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/>
      <c r="O3" s="4"/>
      <c r="P3" s="4"/>
    </row>
    <row r="4" spans="1:21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20" t="s">
        <v>2</v>
      </c>
      <c r="O4" s="120"/>
      <c r="P4" s="120"/>
    </row>
    <row r="5" spans="1:21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 t="s">
        <v>3</v>
      </c>
      <c r="O5" s="6" t="s">
        <v>4</v>
      </c>
      <c r="P5" s="6">
        <v>5</v>
      </c>
    </row>
    <row r="6" spans="1:21" ht="21" customHeight="1">
      <c r="A6" s="2"/>
      <c r="B6" s="2"/>
      <c r="C6" s="216" t="s">
        <v>203</v>
      </c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8" t="s">
        <v>6</v>
      </c>
      <c r="O6" s="9" t="s">
        <v>7</v>
      </c>
      <c r="P6" s="10">
        <v>4</v>
      </c>
    </row>
    <row r="7" spans="1:21" ht="21" customHeight="1">
      <c r="A7" s="2"/>
      <c r="B7" s="2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1" t="s">
        <v>8</v>
      </c>
      <c r="O7" s="6" t="s">
        <v>9</v>
      </c>
      <c r="P7" s="12">
        <v>3.5</v>
      </c>
    </row>
    <row r="8" spans="1:21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1" t="s">
        <v>10</v>
      </c>
      <c r="O8" s="6" t="s">
        <v>11</v>
      </c>
      <c r="P8" s="12">
        <v>3</v>
      </c>
    </row>
    <row r="9" spans="1:21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1" t="s">
        <v>12</v>
      </c>
      <c r="O9" s="6" t="s">
        <v>13</v>
      </c>
      <c r="P9" s="12">
        <v>2</v>
      </c>
    </row>
    <row r="10" spans="1:21" ht="21" customHeight="1">
      <c r="A10" s="122"/>
      <c r="B10" s="122"/>
      <c r="C10" s="13"/>
      <c r="D10" s="123"/>
      <c r="E10" s="123"/>
      <c r="F10" s="123"/>
      <c r="G10" s="124"/>
      <c r="H10" s="125"/>
      <c r="I10" s="125"/>
      <c r="J10" s="125"/>
      <c r="K10" s="125"/>
      <c r="L10" s="125"/>
      <c r="M10" s="14"/>
      <c r="N10" s="11" t="s">
        <v>14</v>
      </c>
      <c r="O10" s="6" t="s">
        <v>15</v>
      </c>
      <c r="P10" s="12">
        <v>1</v>
      </c>
      <c r="S10" t="s">
        <v>16</v>
      </c>
    </row>
    <row r="11" spans="1:21" ht="21" customHeight="1">
      <c r="A11" s="122"/>
      <c r="B11" s="122"/>
      <c r="C11" s="13"/>
      <c r="D11" s="123"/>
      <c r="E11" s="123"/>
      <c r="F11" s="123"/>
      <c r="G11" s="124"/>
      <c r="H11" s="125"/>
      <c r="I11" s="125"/>
      <c r="J11" s="125"/>
      <c r="K11" s="125"/>
      <c r="L11" s="125"/>
      <c r="M11" s="14"/>
      <c r="N11" s="15" t="s">
        <v>17</v>
      </c>
      <c r="O11" s="16" t="s">
        <v>18</v>
      </c>
      <c r="P11" s="17">
        <v>0</v>
      </c>
    </row>
    <row r="12" spans="1:21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21" s="19" customFormat="1" ht="60.75" customHeight="1">
      <c r="A13" s="139" t="s">
        <v>19</v>
      </c>
      <c r="B13" s="140" t="s">
        <v>20</v>
      </c>
      <c r="C13" s="197" t="s">
        <v>113</v>
      </c>
      <c r="D13" s="198" t="s">
        <v>118</v>
      </c>
      <c r="E13" s="197" t="s">
        <v>119</v>
      </c>
      <c r="F13" s="198" t="s">
        <v>99</v>
      </c>
      <c r="G13" s="197" t="s">
        <v>100</v>
      </c>
      <c r="H13" s="198" t="s">
        <v>120</v>
      </c>
      <c r="I13" s="198" t="s">
        <v>25</v>
      </c>
      <c r="J13" s="198" t="s">
        <v>121</v>
      </c>
      <c r="K13" s="197" t="s">
        <v>122</v>
      </c>
      <c r="L13" s="142" t="s">
        <v>29</v>
      </c>
      <c r="M13" s="141" t="s">
        <v>30</v>
      </c>
      <c r="N13" s="142" t="s">
        <v>31</v>
      </c>
      <c r="O13" s="141" t="s">
        <v>32</v>
      </c>
      <c r="P13" s="143" t="s">
        <v>33</v>
      </c>
    </row>
    <row r="14" spans="1:21" ht="30" customHeight="1">
      <c r="A14" s="144">
        <v>1</v>
      </c>
      <c r="B14" s="138" t="s">
        <v>123</v>
      </c>
      <c r="C14" s="192">
        <v>92</v>
      </c>
      <c r="D14" s="193">
        <v>100</v>
      </c>
      <c r="E14" s="193">
        <v>90</v>
      </c>
      <c r="F14" s="193">
        <v>81</v>
      </c>
      <c r="G14" s="193">
        <v>98</v>
      </c>
      <c r="H14" s="193">
        <v>94</v>
      </c>
      <c r="I14" s="193">
        <v>62</v>
      </c>
      <c r="J14" s="193">
        <v>98</v>
      </c>
      <c r="K14" s="193">
        <v>94</v>
      </c>
      <c r="L14" s="146">
        <f t="shared" ref="L14:L45" si="0">IF($B14="","",IF(COUNT(C14:K14)=0,"",SUM(C14:K14)))</f>
        <v>809</v>
      </c>
      <c r="M14" s="147">
        <f t="shared" ref="M14:M45" si="1">IF($B14="","",IF(COUNT(C14:K14)=0,"",ROUND(SUM(C14:K14)/COLUMNS(C14:K14),2)))</f>
        <v>89.89</v>
      </c>
      <c r="N14" s="21">
        <f t="shared" ref="N14:N45" si="2">IF($B14="","",IF(COUNT(C14:K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+IF(ISNUMBER(K14),IF(K14&gt;=80,5,IF(K14&gt;=70,4,IF(K14&gt;=60,3.5,IF(K14&gt;=50,3,IF(K14&gt;=40,2,IF(K14&gt;=33,1,0)))))),0))/COLUMNS(C14:K14),2)))</f>
        <v>4.83</v>
      </c>
      <c r="O14" s="22" t="str">
        <f t="shared" ref="O14:O45" si="3">IF($B14="","",IF(N14="","",IF(N14=0,"Fail",IF(N14=5,"A+",IF(N14&gt;=4,"A",IF(N14&gt;=3.5,"A-",IF(N14&gt;=3,"B",IF(N14&gt;=2,"C",IF(N14&gt;=1,"D","F")))))))))</f>
        <v>A</v>
      </c>
      <c r="P14" s="148" t="str">
        <f t="shared" ref="P14:P45" si="4">IF($B14="","",IF($Q14="","",IF($Q14=1,"1g",IF($Q14=2,"2q",IF($Q14=3,"3q",$Q14)))))</f>
        <v>2q</v>
      </c>
      <c r="Q14" s="24">
        <f t="shared" ref="Q14:Q45" si="5">IF($B14="","",IF(OR($O14="ফেল",$O14="অনুপস্থিত",$O14="অসম্পূর্ণ"),"",1+SUMPRODUCT(($R$14:$R$63&lt;&gt;"")*($R$14:$R$63&gt;R14)/COUNTIF($R$14:$R$63,$R$14:$R$63))))</f>
        <v>2</v>
      </c>
      <c r="R14" s="25">
        <f t="shared" ref="R14:R45" si="6">IF($B14="","",M14)</f>
        <v>89.89</v>
      </c>
    </row>
    <row r="15" spans="1:21" ht="30" customHeight="1">
      <c r="A15" s="144">
        <v>2</v>
      </c>
      <c r="B15" s="138" t="s">
        <v>124</v>
      </c>
      <c r="C15" s="145">
        <v>65</v>
      </c>
      <c r="D15" s="146">
        <v>75</v>
      </c>
      <c r="E15" s="146">
        <v>66</v>
      </c>
      <c r="F15" s="146">
        <v>90</v>
      </c>
      <c r="G15" s="146">
        <v>85</v>
      </c>
      <c r="H15" s="146">
        <v>61</v>
      </c>
      <c r="I15" s="146">
        <v>33</v>
      </c>
      <c r="J15" s="146">
        <v>55</v>
      </c>
      <c r="K15" s="146">
        <v>60</v>
      </c>
      <c r="L15" s="146">
        <f t="shared" si="0"/>
        <v>590</v>
      </c>
      <c r="M15" s="147">
        <f t="shared" si="1"/>
        <v>65.56</v>
      </c>
      <c r="N15" s="21">
        <f t="shared" si="2"/>
        <v>3.56</v>
      </c>
      <c r="O15" s="22" t="str">
        <f t="shared" si="3"/>
        <v>A-</v>
      </c>
      <c r="P15" s="148">
        <f t="shared" si="4"/>
        <v>7</v>
      </c>
      <c r="Q15" s="24">
        <f t="shared" si="5"/>
        <v>7</v>
      </c>
      <c r="R15" s="25">
        <f t="shared" si="6"/>
        <v>65.56</v>
      </c>
    </row>
    <row r="16" spans="1:21" ht="30" customHeight="1">
      <c r="A16" s="144">
        <v>3</v>
      </c>
      <c r="B16" s="138" t="s">
        <v>125</v>
      </c>
      <c r="C16" s="145">
        <v>60</v>
      </c>
      <c r="D16" s="146">
        <v>93</v>
      </c>
      <c r="E16" s="146">
        <v>68</v>
      </c>
      <c r="F16" s="146">
        <v>64</v>
      </c>
      <c r="G16" s="146">
        <v>80</v>
      </c>
      <c r="H16" s="149">
        <v>53</v>
      </c>
      <c r="I16" s="149">
        <v>33</v>
      </c>
      <c r="J16" s="149">
        <v>70</v>
      </c>
      <c r="K16" s="146">
        <v>77</v>
      </c>
      <c r="L16" s="146">
        <f t="shared" si="0"/>
        <v>598</v>
      </c>
      <c r="M16" s="147">
        <f t="shared" si="1"/>
        <v>66.44</v>
      </c>
      <c r="N16" s="21">
        <f t="shared" si="2"/>
        <v>3.61</v>
      </c>
      <c r="O16" s="22" t="str">
        <f t="shared" si="3"/>
        <v>A-</v>
      </c>
      <c r="P16" s="148">
        <f t="shared" si="4"/>
        <v>6</v>
      </c>
      <c r="Q16" s="24">
        <f t="shared" si="5"/>
        <v>6</v>
      </c>
      <c r="R16" s="25">
        <f t="shared" si="6"/>
        <v>66.44</v>
      </c>
      <c r="U16" s="26"/>
    </row>
    <row r="17" spans="1:18" ht="30" customHeight="1">
      <c r="A17" s="144">
        <v>4</v>
      </c>
      <c r="B17" s="138" t="s">
        <v>126</v>
      </c>
      <c r="C17" s="145">
        <v>82</v>
      </c>
      <c r="D17" s="146">
        <v>70</v>
      </c>
      <c r="E17" s="146">
        <v>87</v>
      </c>
      <c r="F17" s="146">
        <v>49</v>
      </c>
      <c r="G17" s="146">
        <v>96</v>
      </c>
      <c r="H17" s="146">
        <v>67</v>
      </c>
      <c r="I17" s="146">
        <v>44</v>
      </c>
      <c r="J17" s="146">
        <v>96</v>
      </c>
      <c r="K17" s="146">
        <v>87</v>
      </c>
      <c r="L17" s="146">
        <f t="shared" si="0"/>
        <v>678</v>
      </c>
      <c r="M17" s="147">
        <f t="shared" si="1"/>
        <v>75.33</v>
      </c>
      <c r="N17" s="21">
        <f t="shared" si="2"/>
        <v>4.0599999999999996</v>
      </c>
      <c r="O17" s="22" t="str">
        <f t="shared" si="3"/>
        <v>A</v>
      </c>
      <c r="P17" s="148">
        <f t="shared" si="4"/>
        <v>4</v>
      </c>
      <c r="Q17" s="24">
        <f t="shared" si="5"/>
        <v>4</v>
      </c>
      <c r="R17" s="25">
        <f t="shared" si="6"/>
        <v>75.33</v>
      </c>
    </row>
    <row r="18" spans="1:18" ht="30" customHeight="1">
      <c r="A18" s="144">
        <v>5</v>
      </c>
      <c r="B18" s="138" t="s">
        <v>127</v>
      </c>
      <c r="C18" s="145">
        <v>40</v>
      </c>
      <c r="D18" s="146">
        <v>50</v>
      </c>
      <c r="E18" s="146">
        <v>39</v>
      </c>
      <c r="F18" s="146">
        <v>35</v>
      </c>
      <c r="G18" s="146">
        <v>70</v>
      </c>
      <c r="H18" s="146">
        <v>37</v>
      </c>
      <c r="I18" s="146">
        <v>38</v>
      </c>
      <c r="J18" s="146">
        <v>45</v>
      </c>
      <c r="K18" s="146">
        <v>65</v>
      </c>
      <c r="L18" s="146">
        <f t="shared" si="0"/>
        <v>419</v>
      </c>
      <c r="M18" s="147">
        <f t="shared" si="1"/>
        <v>46.56</v>
      </c>
      <c r="N18" s="21">
        <f t="shared" si="2"/>
        <v>2.06</v>
      </c>
      <c r="O18" s="22" t="str">
        <f t="shared" si="3"/>
        <v>C</v>
      </c>
      <c r="P18" s="148">
        <f t="shared" si="4"/>
        <v>10</v>
      </c>
      <c r="Q18" s="24">
        <f t="shared" si="5"/>
        <v>10</v>
      </c>
      <c r="R18" s="25">
        <f t="shared" si="6"/>
        <v>46.56</v>
      </c>
    </row>
    <row r="19" spans="1:18" ht="30" customHeight="1">
      <c r="A19" s="144">
        <v>6</v>
      </c>
      <c r="B19" s="138" t="s">
        <v>128</v>
      </c>
      <c r="C19" s="145">
        <v>40</v>
      </c>
      <c r="D19" s="146">
        <v>40</v>
      </c>
      <c r="E19" s="146">
        <v>38</v>
      </c>
      <c r="F19" s="146">
        <v>46</v>
      </c>
      <c r="G19" s="146">
        <v>55</v>
      </c>
      <c r="H19" s="146">
        <v>44</v>
      </c>
      <c r="I19" s="146">
        <v>34</v>
      </c>
      <c r="J19" s="146">
        <v>40</v>
      </c>
      <c r="K19" s="146">
        <v>43</v>
      </c>
      <c r="L19" s="146">
        <f t="shared" si="0"/>
        <v>380</v>
      </c>
      <c r="M19" s="147">
        <f t="shared" si="1"/>
        <v>42.22</v>
      </c>
      <c r="N19" s="21">
        <f t="shared" si="2"/>
        <v>1.89</v>
      </c>
      <c r="O19" s="22" t="str">
        <f t="shared" si="3"/>
        <v>D</v>
      </c>
      <c r="P19" s="148">
        <f t="shared" si="4"/>
        <v>11</v>
      </c>
      <c r="Q19" s="24">
        <f t="shared" si="5"/>
        <v>11</v>
      </c>
      <c r="R19" s="25">
        <f t="shared" si="6"/>
        <v>42.22</v>
      </c>
    </row>
    <row r="20" spans="1:18" ht="30" customHeight="1">
      <c r="A20" s="144">
        <v>7</v>
      </c>
      <c r="B20" s="138" t="s">
        <v>129</v>
      </c>
      <c r="C20" s="145">
        <v>35</v>
      </c>
      <c r="D20" s="146">
        <v>33</v>
      </c>
      <c r="E20" s="146">
        <v>40</v>
      </c>
      <c r="F20" s="146">
        <v>38</v>
      </c>
      <c r="G20" s="146">
        <v>60</v>
      </c>
      <c r="H20" s="146">
        <v>35</v>
      </c>
      <c r="I20" s="146">
        <v>33</v>
      </c>
      <c r="J20" s="146">
        <v>45</v>
      </c>
      <c r="K20" s="146">
        <v>40</v>
      </c>
      <c r="L20" s="146">
        <f t="shared" si="0"/>
        <v>359</v>
      </c>
      <c r="M20" s="147">
        <f t="shared" si="1"/>
        <v>39.89</v>
      </c>
      <c r="N20" s="21">
        <f t="shared" si="2"/>
        <v>1.61</v>
      </c>
      <c r="O20" s="22" t="str">
        <f t="shared" si="3"/>
        <v>D</v>
      </c>
      <c r="P20" s="148">
        <f t="shared" si="4"/>
        <v>13</v>
      </c>
      <c r="Q20" s="24">
        <f t="shared" si="5"/>
        <v>13</v>
      </c>
      <c r="R20" s="25">
        <f t="shared" si="6"/>
        <v>39.89</v>
      </c>
    </row>
    <row r="21" spans="1:18" ht="30" customHeight="1">
      <c r="A21" s="144">
        <v>8</v>
      </c>
      <c r="B21" s="138" t="s">
        <v>130</v>
      </c>
      <c r="C21" s="145">
        <v>50</v>
      </c>
      <c r="D21" s="146">
        <v>40</v>
      </c>
      <c r="E21" s="146">
        <v>36</v>
      </c>
      <c r="F21" s="146">
        <v>37</v>
      </c>
      <c r="G21" s="146">
        <v>70</v>
      </c>
      <c r="H21" s="146">
        <v>47</v>
      </c>
      <c r="I21" s="146">
        <v>33</v>
      </c>
      <c r="J21" s="146">
        <v>52</v>
      </c>
      <c r="K21" s="146">
        <v>62</v>
      </c>
      <c r="L21" s="146">
        <f t="shared" si="0"/>
        <v>427</v>
      </c>
      <c r="M21" s="147">
        <f t="shared" si="1"/>
        <v>47.44</v>
      </c>
      <c r="N21" s="21">
        <f t="shared" si="2"/>
        <v>2.2799999999999998</v>
      </c>
      <c r="O21" s="22" t="str">
        <f t="shared" si="3"/>
        <v>C</v>
      </c>
      <c r="P21" s="148">
        <f t="shared" si="4"/>
        <v>9</v>
      </c>
      <c r="Q21" s="24">
        <f t="shared" si="5"/>
        <v>9</v>
      </c>
      <c r="R21" s="25">
        <f t="shared" si="6"/>
        <v>47.44</v>
      </c>
    </row>
    <row r="22" spans="1:18" ht="30" customHeight="1">
      <c r="A22" s="144">
        <v>9</v>
      </c>
      <c r="B22" s="138" t="s">
        <v>131</v>
      </c>
      <c r="C22" s="145">
        <v>37</v>
      </c>
      <c r="D22" s="146">
        <v>40</v>
      </c>
      <c r="E22" s="146">
        <v>35</v>
      </c>
      <c r="F22" s="146">
        <v>39</v>
      </c>
      <c r="G22" s="146">
        <v>50</v>
      </c>
      <c r="H22" s="146">
        <v>38</v>
      </c>
      <c r="I22" s="146">
        <v>34</v>
      </c>
      <c r="J22" s="146">
        <v>60</v>
      </c>
      <c r="K22" s="146">
        <v>46</v>
      </c>
      <c r="L22" s="146">
        <f t="shared" si="0"/>
        <v>379</v>
      </c>
      <c r="M22" s="147">
        <f t="shared" si="1"/>
        <v>42.11</v>
      </c>
      <c r="N22" s="21">
        <f t="shared" si="2"/>
        <v>1.72</v>
      </c>
      <c r="O22" s="22" t="str">
        <f t="shared" si="3"/>
        <v>D</v>
      </c>
      <c r="P22" s="148">
        <f t="shared" si="4"/>
        <v>12</v>
      </c>
      <c r="Q22" s="24">
        <f t="shared" si="5"/>
        <v>12</v>
      </c>
      <c r="R22" s="25">
        <f t="shared" si="6"/>
        <v>42.11</v>
      </c>
    </row>
    <row r="23" spans="1:18" ht="30" customHeight="1">
      <c r="A23" s="144">
        <v>10</v>
      </c>
      <c r="B23" s="138" t="s">
        <v>132</v>
      </c>
      <c r="C23" s="145">
        <v>91</v>
      </c>
      <c r="D23" s="146">
        <v>99</v>
      </c>
      <c r="E23" s="146">
        <v>90</v>
      </c>
      <c r="F23" s="146">
        <v>75</v>
      </c>
      <c r="G23" s="146">
        <v>90</v>
      </c>
      <c r="H23" s="146">
        <v>95</v>
      </c>
      <c r="I23" s="146">
        <v>60</v>
      </c>
      <c r="J23" s="146">
        <v>90</v>
      </c>
      <c r="K23" s="146">
        <v>94</v>
      </c>
      <c r="L23" s="146">
        <f t="shared" si="0"/>
        <v>784</v>
      </c>
      <c r="M23" s="147">
        <f t="shared" si="1"/>
        <v>87.11</v>
      </c>
      <c r="N23" s="21">
        <f t="shared" si="2"/>
        <v>4.72</v>
      </c>
      <c r="O23" s="22" t="str">
        <f t="shared" si="3"/>
        <v>A</v>
      </c>
      <c r="P23" s="148" t="str">
        <f t="shared" si="4"/>
        <v>3q</v>
      </c>
      <c r="Q23" s="24">
        <f t="shared" si="5"/>
        <v>3</v>
      </c>
      <c r="R23" s="25">
        <f t="shared" si="6"/>
        <v>87.11</v>
      </c>
    </row>
    <row r="24" spans="1:18" ht="30" customHeight="1">
      <c r="A24" s="144">
        <v>11</v>
      </c>
      <c r="B24" s="138" t="s">
        <v>133</v>
      </c>
      <c r="C24" s="145">
        <v>33</v>
      </c>
      <c r="D24" s="146">
        <v>33</v>
      </c>
      <c r="E24" s="146">
        <v>33</v>
      </c>
      <c r="F24" s="146">
        <v>35</v>
      </c>
      <c r="G24" s="146">
        <v>50</v>
      </c>
      <c r="H24" s="146">
        <v>33</v>
      </c>
      <c r="I24" s="146">
        <v>33</v>
      </c>
      <c r="J24" s="146">
        <v>33</v>
      </c>
      <c r="K24" s="146">
        <v>35</v>
      </c>
      <c r="L24" s="146">
        <f t="shared" si="0"/>
        <v>318</v>
      </c>
      <c r="M24" s="147">
        <f t="shared" si="1"/>
        <v>35.33</v>
      </c>
      <c r="N24" s="21">
        <f t="shared" si="2"/>
        <v>1.22</v>
      </c>
      <c r="O24" s="22" t="str">
        <f t="shared" si="3"/>
        <v>D</v>
      </c>
      <c r="P24" s="148">
        <f t="shared" si="4"/>
        <v>15</v>
      </c>
      <c r="Q24" s="24">
        <f t="shared" si="5"/>
        <v>15</v>
      </c>
      <c r="R24" s="25">
        <f t="shared" si="6"/>
        <v>35.33</v>
      </c>
    </row>
    <row r="25" spans="1:18" ht="30" customHeight="1">
      <c r="A25" s="144">
        <v>12</v>
      </c>
      <c r="B25" s="138" t="s">
        <v>134</v>
      </c>
      <c r="C25" s="145">
        <v>33</v>
      </c>
      <c r="D25" s="146">
        <v>33</v>
      </c>
      <c r="E25" s="146">
        <v>33</v>
      </c>
      <c r="F25" s="146">
        <v>33</v>
      </c>
      <c r="G25" s="146">
        <v>40</v>
      </c>
      <c r="H25" s="146">
        <v>35</v>
      </c>
      <c r="I25" s="146">
        <v>33</v>
      </c>
      <c r="J25" s="146">
        <v>35</v>
      </c>
      <c r="K25" s="146">
        <v>36</v>
      </c>
      <c r="L25" s="146">
        <f t="shared" si="0"/>
        <v>311</v>
      </c>
      <c r="M25" s="147">
        <f t="shared" si="1"/>
        <v>34.56</v>
      </c>
      <c r="N25" s="21">
        <f t="shared" si="2"/>
        <v>1.1100000000000001</v>
      </c>
      <c r="O25" s="22" t="str">
        <f t="shared" si="3"/>
        <v>D</v>
      </c>
      <c r="P25" s="148">
        <f t="shared" si="4"/>
        <v>16</v>
      </c>
      <c r="Q25" s="24">
        <f t="shared" si="5"/>
        <v>16</v>
      </c>
      <c r="R25" s="25">
        <f t="shared" si="6"/>
        <v>34.56</v>
      </c>
    </row>
    <row r="26" spans="1:18" ht="30" customHeight="1">
      <c r="A26" s="144">
        <v>13</v>
      </c>
      <c r="B26" s="138" t="s">
        <v>135</v>
      </c>
      <c r="C26" s="145">
        <v>60</v>
      </c>
      <c r="D26" s="146">
        <v>90</v>
      </c>
      <c r="E26" s="146">
        <v>63</v>
      </c>
      <c r="F26" s="146">
        <v>57</v>
      </c>
      <c r="G26" s="146">
        <v>80</v>
      </c>
      <c r="H26" s="146">
        <v>65</v>
      </c>
      <c r="I26" s="146">
        <v>60</v>
      </c>
      <c r="J26" s="146">
        <v>60</v>
      </c>
      <c r="K26" s="146">
        <v>75</v>
      </c>
      <c r="L26" s="146">
        <f t="shared" si="0"/>
        <v>610</v>
      </c>
      <c r="M26" s="147">
        <f t="shared" si="1"/>
        <v>67.78</v>
      </c>
      <c r="N26" s="21">
        <f t="shared" si="2"/>
        <v>3.83</v>
      </c>
      <c r="O26" s="22" t="str">
        <f t="shared" si="3"/>
        <v>A-</v>
      </c>
      <c r="P26" s="148">
        <f t="shared" si="4"/>
        <v>5</v>
      </c>
      <c r="Q26" s="24">
        <f t="shared" si="5"/>
        <v>5</v>
      </c>
      <c r="R26" s="25">
        <f t="shared" si="6"/>
        <v>67.78</v>
      </c>
    </row>
    <row r="27" spans="1:18" ht="30" customHeight="1">
      <c r="A27" s="144">
        <v>14</v>
      </c>
      <c r="B27" s="138" t="s">
        <v>136</v>
      </c>
      <c r="C27" s="145">
        <v>40</v>
      </c>
      <c r="D27" s="146">
        <v>45</v>
      </c>
      <c r="E27" s="146">
        <v>68</v>
      </c>
      <c r="F27" s="146">
        <v>53</v>
      </c>
      <c r="G27" s="146">
        <v>74</v>
      </c>
      <c r="H27" s="146">
        <v>42</v>
      </c>
      <c r="I27" s="146">
        <v>38</v>
      </c>
      <c r="J27" s="146">
        <v>61</v>
      </c>
      <c r="K27" s="146">
        <v>58</v>
      </c>
      <c r="L27" s="146">
        <f t="shared" si="0"/>
        <v>479</v>
      </c>
      <c r="M27" s="147">
        <f t="shared" si="1"/>
        <v>53.22</v>
      </c>
      <c r="N27" s="21">
        <f t="shared" si="2"/>
        <v>2.67</v>
      </c>
      <c r="O27" s="22" t="str">
        <f t="shared" si="3"/>
        <v>C</v>
      </c>
      <c r="P27" s="148">
        <f t="shared" si="4"/>
        <v>8</v>
      </c>
      <c r="Q27" s="24">
        <f t="shared" si="5"/>
        <v>8</v>
      </c>
      <c r="R27" s="25">
        <f t="shared" si="6"/>
        <v>53.22</v>
      </c>
    </row>
    <row r="28" spans="1:18" ht="30" customHeight="1">
      <c r="A28" s="144">
        <v>15</v>
      </c>
      <c r="B28" s="138" t="s">
        <v>137</v>
      </c>
      <c r="C28" s="145">
        <v>100</v>
      </c>
      <c r="D28" s="146">
        <v>100</v>
      </c>
      <c r="E28" s="146">
        <v>93</v>
      </c>
      <c r="F28" s="146">
        <v>88</v>
      </c>
      <c r="G28" s="146">
        <v>90</v>
      </c>
      <c r="H28" s="146">
        <v>95</v>
      </c>
      <c r="I28" s="146">
        <v>100</v>
      </c>
      <c r="J28" s="146">
        <v>100</v>
      </c>
      <c r="K28" s="146">
        <v>95</v>
      </c>
      <c r="L28" s="146">
        <f t="shared" si="0"/>
        <v>861</v>
      </c>
      <c r="M28" s="147">
        <f t="shared" si="1"/>
        <v>95.67</v>
      </c>
      <c r="N28" s="21">
        <f t="shared" si="2"/>
        <v>5</v>
      </c>
      <c r="O28" s="22" t="str">
        <f t="shared" si="3"/>
        <v>A+</v>
      </c>
      <c r="P28" s="148" t="str">
        <f t="shared" si="4"/>
        <v>1g</v>
      </c>
      <c r="Q28" s="24">
        <f t="shared" si="5"/>
        <v>1</v>
      </c>
      <c r="R28" s="25">
        <f t="shared" si="6"/>
        <v>95.67</v>
      </c>
    </row>
    <row r="29" spans="1:18" ht="30" customHeight="1" thickBot="1">
      <c r="A29" s="151">
        <v>16</v>
      </c>
      <c r="B29" s="138" t="s">
        <v>190</v>
      </c>
      <c r="C29" s="152">
        <v>35</v>
      </c>
      <c r="D29" s="153">
        <v>33</v>
      </c>
      <c r="E29" s="153">
        <v>33</v>
      </c>
      <c r="F29" s="153">
        <v>38</v>
      </c>
      <c r="G29" s="153">
        <v>70</v>
      </c>
      <c r="H29" s="153">
        <v>34</v>
      </c>
      <c r="I29" s="153">
        <v>33</v>
      </c>
      <c r="J29" s="153">
        <v>33</v>
      </c>
      <c r="K29" s="153">
        <v>42</v>
      </c>
      <c r="L29" s="153">
        <f t="shared" si="0"/>
        <v>351</v>
      </c>
      <c r="M29" s="147">
        <f t="shared" si="1"/>
        <v>39</v>
      </c>
      <c r="N29" s="21">
        <f t="shared" si="2"/>
        <v>1.44</v>
      </c>
      <c r="O29" s="22" t="str">
        <f t="shared" si="3"/>
        <v>D</v>
      </c>
      <c r="P29" s="148">
        <f t="shared" si="4"/>
        <v>14</v>
      </c>
      <c r="Q29" s="24">
        <f t="shared" si="5"/>
        <v>14</v>
      </c>
      <c r="R29" s="25">
        <f t="shared" si="6"/>
        <v>39</v>
      </c>
    </row>
    <row r="30" spans="1:18" ht="30" customHeight="1">
      <c r="A30" s="78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0" t="str">
        <f t="shared" si="0"/>
        <v/>
      </c>
      <c r="M30" s="80" t="str">
        <f t="shared" si="1"/>
        <v/>
      </c>
      <c r="N30" s="81" t="str">
        <f t="shared" si="2"/>
        <v/>
      </c>
      <c r="O30" s="82" t="str">
        <f t="shared" si="3"/>
        <v/>
      </c>
      <c r="P30" s="78" t="str">
        <f t="shared" si="4"/>
        <v/>
      </c>
      <c r="Q30" s="24" t="str">
        <f t="shared" si="5"/>
        <v/>
      </c>
      <c r="R30" s="25" t="str">
        <f t="shared" si="6"/>
        <v/>
      </c>
    </row>
    <row r="31" spans="1:18" ht="30" customHeight="1">
      <c r="A31" s="78"/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0" t="str">
        <f t="shared" si="0"/>
        <v/>
      </c>
      <c r="M31" s="80" t="str">
        <f t="shared" si="1"/>
        <v/>
      </c>
      <c r="N31" s="81" t="str">
        <f t="shared" si="2"/>
        <v/>
      </c>
      <c r="O31" s="82" t="str">
        <f t="shared" si="3"/>
        <v/>
      </c>
      <c r="P31" s="78" t="str">
        <f t="shared" si="4"/>
        <v/>
      </c>
      <c r="Q31" s="24" t="str">
        <f t="shared" si="5"/>
        <v/>
      </c>
      <c r="R31" s="25" t="str">
        <f t="shared" si="6"/>
        <v/>
      </c>
    </row>
    <row r="32" spans="1:18" ht="30" customHeight="1">
      <c r="A32" s="78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 t="str">
        <f t="shared" si="0"/>
        <v/>
      </c>
      <c r="M32" s="80" t="str">
        <f t="shared" si="1"/>
        <v/>
      </c>
      <c r="N32" s="81" t="str">
        <f t="shared" si="2"/>
        <v/>
      </c>
      <c r="O32" s="82" t="str">
        <f t="shared" si="3"/>
        <v/>
      </c>
      <c r="P32" s="78" t="str">
        <f t="shared" si="4"/>
        <v/>
      </c>
      <c r="Q32" s="24" t="str">
        <f t="shared" si="5"/>
        <v/>
      </c>
      <c r="R32" s="25" t="str">
        <f t="shared" si="6"/>
        <v/>
      </c>
    </row>
    <row r="33" spans="1:18" ht="30" customHeight="1">
      <c r="A33" s="78"/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 t="str">
        <f t="shared" si="0"/>
        <v/>
      </c>
      <c r="M33" s="80" t="str">
        <f t="shared" si="1"/>
        <v/>
      </c>
      <c r="N33" s="81" t="str">
        <f t="shared" si="2"/>
        <v/>
      </c>
      <c r="O33" s="82" t="str">
        <f t="shared" si="3"/>
        <v/>
      </c>
      <c r="P33" s="78" t="str">
        <f t="shared" si="4"/>
        <v/>
      </c>
      <c r="Q33" s="24" t="str">
        <f t="shared" si="5"/>
        <v/>
      </c>
      <c r="R33" s="25" t="str">
        <f t="shared" si="6"/>
        <v/>
      </c>
    </row>
    <row r="34" spans="1:18" ht="30" customHeight="1">
      <c r="A34" s="78"/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80" t="str">
        <f t="shared" si="0"/>
        <v/>
      </c>
      <c r="M34" s="80" t="str">
        <f t="shared" si="1"/>
        <v/>
      </c>
      <c r="N34" s="81" t="str">
        <f t="shared" si="2"/>
        <v/>
      </c>
      <c r="O34" s="82" t="str">
        <f t="shared" si="3"/>
        <v/>
      </c>
      <c r="P34" s="78" t="str">
        <f t="shared" si="4"/>
        <v/>
      </c>
      <c r="Q34" s="24" t="str">
        <f t="shared" si="5"/>
        <v/>
      </c>
      <c r="R34" s="25" t="str">
        <f t="shared" si="6"/>
        <v/>
      </c>
    </row>
    <row r="35" spans="1:18" ht="30" customHeight="1">
      <c r="A35" s="78"/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 t="str">
        <f t="shared" si="0"/>
        <v/>
      </c>
      <c r="M35" s="80" t="str">
        <f t="shared" si="1"/>
        <v/>
      </c>
      <c r="N35" s="81" t="str">
        <f t="shared" si="2"/>
        <v/>
      </c>
      <c r="O35" s="82" t="str">
        <f t="shared" si="3"/>
        <v/>
      </c>
      <c r="P35" s="78" t="str">
        <f t="shared" si="4"/>
        <v/>
      </c>
      <c r="Q35" s="24" t="str">
        <f t="shared" si="5"/>
        <v/>
      </c>
      <c r="R35" s="25" t="str">
        <f t="shared" si="6"/>
        <v/>
      </c>
    </row>
    <row r="36" spans="1:18" ht="30" customHeight="1">
      <c r="A36" s="78"/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0" t="str">
        <f t="shared" si="0"/>
        <v/>
      </c>
      <c r="M36" s="80" t="str">
        <f t="shared" si="1"/>
        <v/>
      </c>
      <c r="N36" s="81" t="str">
        <f t="shared" si="2"/>
        <v/>
      </c>
      <c r="O36" s="82" t="str">
        <f t="shared" si="3"/>
        <v/>
      </c>
      <c r="P36" s="78" t="str">
        <f t="shared" si="4"/>
        <v/>
      </c>
      <c r="Q36" s="24" t="str">
        <f t="shared" si="5"/>
        <v/>
      </c>
      <c r="R36" s="25" t="str">
        <f t="shared" si="6"/>
        <v/>
      </c>
    </row>
    <row r="37" spans="1:18" s="26" customFormat="1" ht="21.75" customHeight="1">
      <c r="A37" s="29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 t="str">
        <f t="shared" si="0"/>
        <v/>
      </c>
      <c r="M37" s="32" t="str">
        <f t="shared" si="1"/>
        <v/>
      </c>
      <c r="N37" s="32" t="str">
        <f t="shared" si="2"/>
        <v/>
      </c>
      <c r="O37" s="29" t="str">
        <f t="shared" si="3"/>
        <v/>
      </c>
      <c r="P37" s="33" t="str">
        <f t="shared" si="4"/>
        <v/>
      </c>
      <c r="Q37" s="34" t="str">
        <f t="shared" si="5"/>
        <v/>
      </c>
      <c r="R37" s="35" t="str">
        <f t="shared" si="6"/>
        <v/>
      </c>
    </row>
    <row r="38" spans="1:18" s="26" customFormat="1" ht="21.75" customHeight="1">
      <c r="A38" s="33"/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 t="str">
        <f t="shared" si="0"/>
        <v/>
      </c>
      <c r="M38" s="38" t="str">
        <f t="shared" si="1"/>
        <v/>
      </c>
      <c r="N38" s="38" t="str">
        <f t="shared" si="2"/>
        <v/>
      </c>
      <c r="O38" s="33" t="str">
        <f t="shared" si="3"/>
        <v/>
      </c>
      <c r="P38" s="33" t="str">
        <f t="shared" si="4"/>
        <v/>
      </c>
      <c r="Q38" s="34" t="str">
        <f t="shared" si="5"/>
        <v/>
      </c>
      <c r="R38" s="35" t="str">
        <f t="shared" si="6"/>
        <v/>
      </c>
    </row>
    <row r="39" spans="1:18" s="26" customFormat="1" ht="21.75" customHeight="1">
      <c r="A39" s="33"/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7" t="str">
        <f t="shared" si="0"/>
        <v/>
      </c>
      <c r="M39" s="38" t="str">
        <f t="shared" si="1"/>
        <v/>
      </c>
      <c r="N39" s="38" t="str">
        <f t="shared" si="2"/>
        <v/>
      </c>
      <c r="O39" s="33" t="str">
        <f t="shared" si="3"/>
        <v/>
      </c>
      <c r="P39" s="33" t="str">
        <f t="shared" si="4"/>
        <v/>
      </c>
      <c r="Q39" s="34" t="str">
        <f t="shared" si="5"/>
        <v/>
      </c>
      <c r="R39" s="35" t="str">
        <f t="shared" si="6"/>
        <v/>
      </c>
    </row>
    <row r="40" spans="1:18" s="26" customFormat="1" ht="21.75" customHeight="1">
      <c r="A40" s="33"/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7" t="str">
        <f t="shared" si="0"/>
        <v/>
      </c>
      <c r="M40" s="38" t="str">
        <f t="shared" si="1"/>
        <v/>
      </c>
      <c r="N40" s="38" t="str">
        <f t="shared" si="2"/>
        <v/>
      </c>
      <c r="O40" s="33" t="str">
        <f t="shared" si="3"/>
        <v/>
      </c>
      <c r="P40" s="33" t="str">
        <f t="shared" si="4"/>
        <v/>
      </c>
      <c r="Q40" s="34" t="str">
        <f t="shared" si="5"/>
        <v/>
      </c>
      <c r="R40" s="35" t="str">
        <f t="shared" si="6"/>
        <v/>
      </c>
    </row>
    <row r="41" spans="1:18" s="26" customFormat="1" ht="21.75" customHeight="1">
      <c r="A41" s="33"/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 t="str">
        <f t="shared" si="0"/>
        <v/>
      </c>
      <c r="M41" s="38" t="str">
        <f t="shared" si="1"/>
        <v/>
      </c>
      <c r="N41" s="38" t="str">
        <f t="shared" si="2"/>
        <v/>
      </c>
      <c r="O41" s="33" t="str">
        <f t="shared" si="3"/>
        <v/>
      </c>
      <c r="P41" s="33" t="str">
        <f t="shared" si="4"/>
        <v/>
      </c>
      <c r="Q41" s="34" t="str">
        <f t="shared" si="5"/>
        <v/>
      </c>
      <c r="R41" s="35" t="str">
        <f t="shared" si="6"/>
        <v/>
      </c>
    </row>
    <row r="42" spans="1:18" s="26" customFormat="1" ht="21.75" customHeight="1">
      <c r="A42" s="33"/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 t="str">
        <f t="shared" si="0"/>
        <v/>
      </c>
      <c r="M42" s="38" t="str">
        <f t="shared" si="1"/>
        <v/>
      </c>
      <c r="N42" s="38" t="str">
        <f t="shared" si="2"/>
        <v/>
      </c>
      <c r="O42" s="33" t="str">
        <f t="shared" si="3"/>
        <v/>
      </c>
      <c r="P42" s="33" t="str">
        <f t="shared" si="4"/>
        <v/>
      </c>
      <c r="Q42" s="34" t="str">
        <f t="shared" si="5"/>
        <v/>
      </c>
      <c r="R42" s="35" t="str">
        <f t="shared" si="6"/>
        <v/>
      </c>
    </row>
    <row r="43" spans="1:18" s="26" customFormat="1" ht="21.75" customHeight="1">
      <c r="A43" s="33"/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 t="str">
        <f t="shared" si="0"/>
        <v/>
      </c>
      <c r="M43" s="38" t="str">
        <f t="shared" si="1"/>
        <v/>
      </c>
      <c r="N43" s="38" t="str">
        <f t="shared" si="2"/>
        <v/>
      </c>
      <c r="O43" s="33" t="str">
        <f t="shared" si="3"/>
        <v/>
      </c>
      <c r="P43" s="33" t="str">
        <f t="shared" si="4"/>
        <v/>
      </c>
      <c r="Q43" s="34" t="str">
        <f t="shared" si="5"/>
        <v/>
      </c>
      <c r="R43" s="35" t="str">
        <f t="shared" si="6"/>
        <v/>
      </c>
    </row>
    <row r="44" spans="1:18" s="26" customFormat="1" ht="21.75" customHeight="1">
      <c r="A44" s="33"/>
      <c r="B44" s="36"/>
      <c r="C44" s="37"/>
      <c r="D44" s="37"/>
      <c r="E44" s="37"/>
      <c r="F44" s="37"/>
      <c r="G44" s="37"/>
      <c r="H44" s="37"/>
      <c r="I44" s="37"/>
      <c r="J44" s="37"/>
      <c r="K44" s="37"/>
      <c r="L44" s="37" t="str">
        <f t="shared" si="0"/>
        <v/>
      </c>
      <c r="M44" s="38" t="str">
        <f t="shared" si="1"/>
        <v/>
      </c>
      <c r="N44" s="38" t="str">
        <f t="shared" si="2"/>
        <v/>
      </c>
      <c r="O44" s="33" t="str">
        <f t="shared" si="3"/>
        <v/>
      </c>
      <c r="P44" s="33" t="str">
        <f t="shared" si="4"/>
        <v/>
      </c>
      <c r="Q44" s="34" t="str">
        <f t="shared" si="5"/>
        <v/>
      </c>
      <c r="R44" s="35" t="str">
        <f t="shared" si="6"/>
        <v/>
      </c>
    </row>
    <row r="45" spans="1:18" s="26" customFormat="1" ht="21.75" customHeight="1">
      <c r="A45" s="33"/>
      <c r="B45" s="36"/>
      <c r="C45" s="37"/>
      <c r="D45" s="37"/>
      <c r="E45" s="37"/>
      <c r="F45" s="37"/>
      <c r="G45" s="37"/>
      <c r="H45" s="37"/>
      <c r="I45" s="37"/>
      <c r="J45" s="37"/>
      <c r="K45" s="37"/>
      <c r="L45" s="37" t="str">
        <f t="shared" si="0"/>
        <v/>
      </c>
      <c r="M45" s="38" t="str">
        <f t="shared" si="1"/>
        <v/>
      </c>
      <c r="N45" s="38" t="str">
        <f t="shared" si="2"/>
        <v/>
      </c>
      <c r="O45" s="33" t="str">
        <f t="shared" si="3"/>
        <v/>
      </c>
      <c r="P45" s="33" t="str">
        <f t="shared" si="4"/>
        <v/>
      </c>
      <c r="Q45" s="34" t="str">
        <f t="shared" si="5"/>
        <v/>
      </c>
      <c r="R45" s="35" t="str">
        <f t="shared" si="6"/>
        <v/>
      </c>
    </row>
    <row r="46" spans="1:18" s="26" customFormat="1" ht="21.75" customHeight="1">
      <c r="A46" s="33">
        <v>34</v>
      </c>
      <c r="B46" s="36"/>
      <c r="C46" s="37"/>
      <c r="D46" s="37"/>
      <c r="E46" s="37"/>
      <c r="F46" s="37"/>
      <c r="G46" s="37"/>
      <c r="H46" s="37"/>
      <c r="I46" s="37"/>
      <c r="J46" s="37"/>
      <c r="K46" s="37"/>
      <c r="L46" s="37" t="str">
        <f t="shared" ref="L46:L63" si="7">IF($B46="","",IF(COUNT(C46:K46)=0,"",SUM(C46:K46)))</f>
        <v/>
      </c>
      <c r="M46" s="38" t="str">
        <f t="shared" ref="M46:M63" si="8">IF($B46="","",IF(COUNT(C46:K46)=0,"",ROUND(SUM(C46:K46)/COLUMNS(C46:K46),2)))</f>
        <v/>
      </c>
      <c r="N46" s="38" t="str">
        <f t="shared" ref="N46:N63" si="9">IF($B46="","",IF(COUNT(C46:K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+IF(ISNUMBER(K46),IF(K46&gt;=80,5,IF(K46&gt;=70,4,IF(K46&gt;=60,3.5,IF(K46&gt;=50,3,IF(K46&gt;=40,2,IF(K46&gt;=33,1,0)))))),0))/COLUMNS(C46:K46),2)))</f>
        <v/>
      </c>
      <c r="O46" s="33" t="str">
        <f t="shared" ref="O46:O63" si="10">IF($B46="","",IF(N46="","",IF(N46=0,"Fail",IF(N46=5,"A+",IF(N46&gt;=4,"A",IF(N46&gt;=3.5,"A-",IF(N46&gt;=3,"B",IF(N46&gt;=2,"C",IF(N46&gt;=1,"D","F")))))))))</f>
        <v/>
      </c>
      <c r="P46" s="33" t="str">
        <f t="shared" ref="P46:P63" si="11">IF($B46="","",IF($Q46="","",IF($Q46=1,"1g",IF($Q46=2,"2q",IF($Q46=3,"3q",$Q46)))))</f>
        <v/>
      </c>
      <c r="Q46" s="34" t="str">
        <f t="shared" ref="Q46:Q63" si="12">IF($B46="","",IF(OR($O46="ফেল",$O46="অনুপস্থিত",$O46="অসম্পূর্ণ"),"",1+SUMPRODUCT(($R$14:$R$63&lt;&gt;"")*($R$14:$R$63&gt;R46)/COUNTIF($R$14:$R$63,$R$14:$R$63))))</f>
        <v/>
      </c>
      <c r="R46" s="35" t="str">
        <f t="shared" ref="R46:R63" si="13">IF($B46="","",M46)</f>
        <v/>
      </c>
    </row>
    <row r="47" spans="1:18" s="26" customFormat="1" ht="21.75" customHeight="1">
      <c r="A47" s="33">
        <v>35</v>
      </c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7" t="str">
        <f t="shared" si="7"/>
        <v/>
      </c>
      <c r="M47" s="38" t="str">
        <f t="shared" si="8"/>
        <v/>
      </c>
      <c r="N47" s="38" t="str">
        <f t="shared" si="9"/>
        <v/>
      </c>
      <c r="O47" s="33" t="str">
        <f t="shared" si="10"/>
        <v/>
      </c>
      <c r="P47" s="33" t="str">
        <f t="shared" si="11"/>
        <v/>
      </c>
      <c r="Q47" s="34" t="str">
        <f t="shared" si="12"/>
        <v/>
      </c>
      <c r="R47" s="35" t="str">
        <f t="shared" si="13"/>
        <v/>
      </c>
    </row>
    <row r="48" spans="1:18" s="26" customFormat="1" ht="21.75" customHeight="1">
      <c r="A48" s="33">
        <v>36</v>
      </c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 t="str">
        <f t="shared" si="7"/>
        <v/>
      </c>
      <c r="M48" s="38" t="str">
        <f t="shared" si="8"/>
        <v/>
      </c>
      <c r="N48" s="38" t="str">
        <f t="shared" si="9"/>
        <v/>
      </c>
      <c r="O48" s="33" t="str">
        <f t="shared" si="10"/>
        <v/>
      </c>
      <c r="P48" s="33" t="str">
        <f t="shared" si="11"/>
        <v/>
      </c>
      <c r="Q48" s="34" t="str">
        <f t="shared" si="12"/>
        <v/>
      </c>
      <c r="R48" s="35" t="str">
        <f t="shared" si="13"/>
        <v/>
      </c>
    </row>
    <row r="49" spans="1:18" s="26" customFormat="1" ht="21.75" customHeight="1">
      <c r="A49" s="33">
        <v>37</v>
      </c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 t="str">
        <f t="shared" si="7"/>
        <v/>
      </c>
      <c r="M49" s="38" t="str">
        <f t="shared" si="8"/>
        <v/>
      </c>
      <c r="N49" s="38" t="str">
        <f t="shared" si="9"/>
        <v/>
      </c>
      <c r="O49" s="33" t="str">
        <f t="shared" si="10"/>
        <v/>
      </c>
      <c r="P49" s="33" t="str">
        <f t="shared" si="11"/>
        <v/>
      </c>
      <c r="Q49" s="34" t="str">
        <f t="shared" si="12"/>
        <v/>
      </c>
      <c r="R49" s="35" t="str">
        <f t="shared" si="13"/>
        <v/>
      </c>
    </row>
    <row r="50" spans="1:18" s="26" customFormat="1" ht="21.75" customHeight="1">
      <c r="A50" s="33">
        <v>38</v>
      </c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 t="str">
        <f t="shared" si="7"/>
        <v/>
      </c>
      <c r="M50" s="38" t="str">
        <f t="shared" si="8"/>
        <v/>
      </c>
      <c r="N50" s="38" t="str">
        <f t="shared" si="9"/>
        <v/>
      </c>
      <c r="O50" s="33" t="str">
        <f t="shared" si="10"/>
        <v/>
      </c>
      <c r="P50" s="33" t="str">
        <f t="shared" si="11"/>
        <v/>
      </c>
      <c r="Q50" s="34" t="str">
        <f t="shared" si="12"/>
        <v/>
      </c>
      <c r="R50" s="35" t="str">
        <f t="shared" si="13"/>
        <v/>
      </c>
    </row>
    <row r="51" spans="1:18" s="26" customFormat="1" ht="21.75" customHeight="1">
      <c r="A51" s="33">
        <v>39</v>
      </c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 t="str">
        <f t="shared" si="7"/>
        <v/>
      </c>
      <c r="M51" s="38" t="str">
        <f t="shared" si="8"/>
        <v/>
      </c>
      <c r="N51" s="38" t="str">
        <f t="shared" si="9"/>
        <v/>
      </c>
      <c r="O51" s="33" t="str">
        <f t="shared" si="10"/>
        <v/>
      </c>
      <c r="P51" s="33" t="str">
        <f t="shared" si="11"/>
        <v/>
      </c>
      <c r="Q51" s="34" t="str">
        <f t="shared" si="12"/>
        <v/>
      </c>
      <c r="R51" s="35" t="str">
        <f t="shared" si="13"/>
        <v/>
      </c>
    </row>
    <row r="52" spans="1:18" s="26" customFormat="1" ht="21.75" customHeight="1">
      <c r="A52" s="33">
        <v>40</v>
      </c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 t="str">
        <f t="shared" si="7"/>
        <v/>
      </c>
      <c r="M52" s="38" t="str">
        <f t="shared" si="8"/>
        <v/>
      </c>
      <c r="N52" s="38" t="str">
        <f t="shared" si="9"/>
        <v/>
      </c>
      <c r="O52" s="33" t="str">
        <f t="shared" si="10"/>
        <v/>
      </c>
      <c r="P52" s="33" t="str">
        <f t="shared" si="11"/>
        <v/>
      </c>
      <c r="Q52" s="34" t="str">
        <f t="shared" si="12"/>
        <v/>
      </c>
      <c r="R52" s="35" t="str">
        <f t="shared" si="13"/>
        <v/>
      </c>
    </row>
    <row r="53" spans="1:18" s="26" customFormat="1" ht="21.75" customHeight="1">
      <c r="A53" s="33">
        <v>41</v>
      </c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 t="str">
        <f t="shared" si="7"/>
        <v/>
      </c>
      <c r="M53" s="38" t="str">
        <f t="shared" si="8"/>
        <v/>
      </c>
      <c r="N53" s="38" t="str">
        <f t="shared" si="9"/>
        <v/>
      </c>
      <c r="O53" s="33" t="str">
        <f t="shared" si="10"/>
        <v/>
      </c>
      <c r="P53" s="33" t="str">
        <f t="shared" si="11"/>
        <v/>
      </c>
      <c r="Q53" s="34" t="str">
        <f t="shared" si="12"/>
        <v/>
      </c>
      <c r="R53" s="35" t="str">
        <f t="shared" si="13"/>
        <v/>
      </c>
    </row>
    <row r="54" spans="1:18" s="26" customFormat="1" ht="21.75" customHeight="1">
      <c r="A54" s="33">
        <v>42</v>
      </c>
      <c r="B54" s="36"/>
      <c r="C54" s="37"/>
      <c r="D54" s="37"/>
      <c r="E54" s="37"/>
      <c r="F54" s="37"/>
      <c r="G54" s="37"/>
      <c r="H54" s="37"/>
      <c r="I54" s="37"/>
      <c r="J54" s="37"/>
      <c r="K54" s="37"/>
      <c r="L54" s="37" t="str">
        <f t="shared" si="7"/>
        <v/>
      </c>
      <c r="M54" s="38" t="str">
        <f t="shared" si="8"/>
        <v/>
      </c>
      <c r="N54" s="38" t="str">
        <f t="shared" si="9"/>
        <v/>
      </c>
      <c r="O54" s="33" t="str">
        <f t="shared" si="10"/>
        <v/>
      </c>
      <c r="P54" s="33" t="str">
        <f t="shared" si="11"/>
        <v/>
      </c>
      <c r="Q54" s="34" t="str">
        <f t="shared" si="12"/>
        <v/>
      </c>
      <c r="R54" s="35" t="str">
        <f t="shared" si="13"/>
        <v/>
      </c>
    </row>
    <row r="55" spans="1:18" s="26" customFormat="1" ht="21.75" customHeight="1">
      <c r="A55" s="33">
        <v>43</v>
      </c>
      <c r="B55" s="36"/>
      <c r="C55" s="37"/>
      <c r="D55" s="37"/>
      <c r="E55" s="37"/>
      <c r="F55" s="37"/>
      <c r="G55" s="37"/>
      <c r="H55" s="37"/>
      <c r="I55" s="37"/>
      <c r="J55" s="37"/>
      <c r="K55" s="37"/>
      <c r="L55" s="37" t="str">
        <f t="shared" si="7"/>
        <v/>
      </c>
      <c r="M55" s="38" t="str">
        <f t="shared" si="8"/>
        <v/>
      </c>
      <c r="N55" s="38" t="str">
        <f t="shared" si="9"/>
        <v/>
      </c>
      <c r="O55" s="33" t="str">
        <f t="shared" si="10"/>
        <v/>
      </c>
      <c r="P55" s="33" t="str">
        <f t="shared" si="11"/>
        <v/>
      </c>
      <c r="Q55" s="34" t="str">
        <f t="shared" si="12"/>
        <v/>
      </c>
      <c r="R55" s="35" t="str">
        <f t="shared" si="13"/>
        <v/>
      </c>
    </row>
    <row r="56" spans="1:18" s="26" customFormat="1" ht="21.75" customHeight="1">
      <c r="A56" s="33">
        <v>44</v>
      </c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 t="str">
        <f t="shared" si="7"/>
        <v/>
      </c>
      <c r="M56" s="38" t="str">
        <f t="shared" si="8"/>
        <v/>
      </c>
      <c r="N56" s="38" t="str">
        <f t="shared" si="9"/>
        <v/>
      </c>
      <c r="O56" s="33" t="str">
        <f t="shared" si="10"/>
        <v/>
      </c>
      <c r="P56" s="33" t="str">
        <f t="shared" si="11"/>
        <v/>
      </c>
      <c r="Q56" s="34" t="str">
        <f t="shared" si="12"/>
        <v/>
      </c>
      <c r="R56" s="35" t="str">
        <f t="shared" si="13"/>
        <v/>
      </c>
    </row>
    <row r="57" spans="1:18" s="26" customFormat="1" ht="21.75" customHeight="1">
      <c r="A57" s="33">
        <v>45</v>
      </c>
      <c r="B57" s="36"/>
      <c r="C57" s="37"/>
      <c r="D57" s="37"/>
      <c r="E57" s="37"/>
      <c r="F57" s="37"/>
      <c r="G57" s="37"/>
      <c r="H57" s="37"/>
      <c r="I57" s="37"/>
      <c r="J57" s="37"/>
      <c r="K57" s="37"/>
      <c r="L57" s="37" t="str">
        <f t="shared" si="7"/>
        <v/>
      </c>
      <c r="M57" s="38" t="str">
        <f t="shared" si="8"/>
        <v/>
      </c>
      <c r="N57" s="38" t="str">
        <f t="shared" si="9"/>
        <v/>
      </c>
      <c r="O57" s="33" t="str">
        <f t="shared" si="10"/>
        <v/>
      </c>
      <c r="P57" s="33" t="str">
        <f t="shared" si="11"/>
        <v/>
      </c>
      <c r="Q57" s="34" t="str">
        <f t="shared" si="12"/>
        <v/>
      </c>
      <c r="R57" s="35" t="str">
        <f t="shared" si="13"/>
        <v/>
      </c>
    </row>
    <row r="58" spans="1:18" s="26" customFormat="1" ht="21.75" customHeight="1">
      <c r="A58" s="33">
        <v>46</v>
      </c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 t="str">
        <f t="shared" si="7"/>
        <v/>
      </c>
      <c r="M58" s="38" t="str">
        <f t="shared" si="8"/>
        <v/>
      </c>
      <c r="N58" s="38" t="str">
        <f t="shared" si="9"/>
        <v/>
      </c>
      <c r="O58" s="33" t="str">
        <f t="shared" si="10"/>
        <v/>
      </c>
      <c r="P58" s="33" t="str">
        <f t="shared" si="11"/>
        <v/>
      </c>
      <c r="Q58" s="34" t="str">
        <f t="shared" si="12"/>
        <v/>
      </c>
      <c r="R58" s="35" t="str">
        <f t="shared" si="13"/>
        <v/>
      </c>
    </row>
    <row r="59" spans="1:18" s="26" customFormat="1" ht="21.75" customHeight="1">
      <c r="A59" s="33">
        <v>47</v>
      </c>
      <c r="B59" s="36"/>
      <c r="C59" s="37"/>
      <c r="D59" s="37"/>
      <c r="E59" s="37"/>
      <c r="F59" s="37"/>
      <c r="G59" s="37"/>
      <c r="H59" s="37"/>
      <c r="I59" s="37"/>
      <c r="J59" s="37"/>
      <c r="K59" s="37"/>
      <c r="L59" s="37" t="str">
        <f t="shared" si="7"/>
        <v/>
      </c>
      <c r="M59" s="38" t="str">
        <f t="shared" si="8"/>
        <v/>
      </c>
      <c r="N59" s="38" t="str">
        <f t="shared" si="9"/>
        <v/>
      </c>
      <c r="O59" s="33" t="str">
        <f t="shared" si="10"/>
        <v/>
      </c>
      <c r="P59" s="33" t="str">
        <f t="shared" si="11"/>
        <v/>
      </c>
      <c r="Q59" s="34" t="str">
        <f t="shared" si="12"/>
        <v/>
      </c>
      <c r="R59" s="35" t="str">
        <f t="shared" si="13"/>
        <v/>
      </c>
    </row>
    <row r="60" spans="1:18" s="26" customFormat="1" ht="21.75" customHeight="1">
      <c r="A60" s="33">
        <v>48</v>
      </c>
      <c r="B60" s="36"/>
      <c r="C60" s="37"/>
      <c r="D60" s="37"/>
      <c r="E60" s="37"/>
      <c r="F60" s="37"/>
      <c r="G60" s="37"/>
      <c r="H60" s="37"/>
      <c r="I60" s="37"/>
      <c r="J60" s="37"/>
      <c r="K60" s="37"/>
      <c r="L60" s="37" t="str">
        <f t="shared" si="7"/>
        <v/>
      </c>
      <c r="M60" s="38" t="str">
        <f t="shared" si="8"/>
        <v/>
      </c>
      <c r="N60" s="38" t="str">
        <f t="shared" si="9"/>
        <v/>
      </c>
      <c r="O60" s="33" t="str">
        <f t="shared" si="10"/>
        <v/>
      </c>
      <c r="P60" s="33" t="str">
        <f t="shared" si="11"/>
        <v/>
      </c>
      <c r="Q60" s="34" t="str">
        <f t="shared" si="12"/>
        <v/>
      </c>
      <c r="R60" s="35" t="str">
        <f t="shared" si="13"/>
        <v/>
      </c>
    </row>
    <row r="61" spans="1:18" s="26" customFormat="1" ht="21.75" customHeight="1">
      <c r="A61" s="33">
        <v>49</v>
      </c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 t="str">
        <f t="shared" si="7"/>
        <v/>
      </c>
      <c r="M61" s="38" t="str">
        <f t="shared" si="8"/>
        <v/>
      </c>
      <c r="N61" s="38" t="str">
        <f t="shared" si="9"/>
        <v/>
      </c>
      <c r="O61" s="33" t="str">
        <f t="shared" si="10"/>
        <v/>
      </c>
      <c r="P61" s="33" t="str">
        <f t="shared" si="11"/>
        <v/>
      </c>
      <c r="Q61" s="34" t="str">
        <f t="shared" si="12"/>
        <v/>
      </c>
      <c r="R61" s="35" t="str">
        <f t="shared" si="13"/>
        <v/>
      </c>
    </row>
    <row r="62" spans="1:18" s="26" customFormat="1" ht="21.75" customHeight="1">
      <c r="A62" s="33">
        <v>50</v>
      </c>
      <c r="B62" s="36"/>
      <c r="C62" s="37"/>
      <c r="D62" s="37"/>
      <c r="E62" s="37"/>
      <c r="F62" s="37"/>
      <c r="G62" s="37"/>
      <c r="H62" s="37"/>
      <c r="I62" s="37"/>
      <c r="J62" s="37"/>
      <c r="K62" s="37"/>
      <c r="L62" s="37" t="str">
        <f t="shared" si="7"/>
        <v/>
      </c>
      <c r="M62" s="38" t="str">
        <f t="shared" si="8"/>
        <v/>
      </c>
      <c r="N62" s="38" t="str">
        <f t="shared" si="9"/>
        <v/>
      </c>
      <c r="O62" s="33" t="str">
        <f t="shared" si="10"/>
        <v/>
      </c>
      <c r="P62" s="33" t="str">
        <f t="shared" si="11"/>
        <v/>
      </c>
      <c r="Q62" s="34" t="str">
        <f t="shared" si="12"/>
        <v/>
      </c>
      <c r="R62" s="35" t="str">
        <f t="shared" si="13"/>
        <v/>
      </c>
    </row>
    <row r="63" spans="1:18" s="26" customFormat="1" ht="21.75" customHeight="1">
      <c r="A63" s="33">
        <v>51</v>
      </c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 t="str">
        <f t="shared" si="7"/>
        <v/>
      </c>
      <c r="M63" s="38" t="str">
        <f t="shared" si="8"/>
        <v/>
      </c>
      <c r="N63" s="38" t="str">
        <f t="shared" si="9"/>
        <v/>
      </c>
      <c r="O63" s="33" t="str">
        <f t="shared" si="10"/>
        <v/>
      </c>
      <c r="P63" s="33" t="str">
        <f t="shared" si="11"/>
        <v/>
      </c>
      <c r="Q63" s="34" t="str">
        <f t="shared" si="12"/>
        <v/>
      </c>
      <c r="R63" s="35" t="str">
        <f t="shared" si="13"/>
        <v/>
      </c>
    </row>
    <row r="64" spans="1:18" s="26" customFormat="1" ht="21.75" customHeight="1">
      <c r="A64" s="33">
        <v>52</v>
      </c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8"/>
      <c r="N64" s="38"/>
      <c r="O64" s="33"/>
      <c r="P64" s="33"/>
      <c r="Q64" s="34"/>
      <c r="R64" s="35"/>
    </row>
    <row r="65" spans="1:18" s="26" customFormat="1" ht="21.75" customHeight="1">
      <c r="A65" s="33">
        <v>53</v>
      </c>
      <c r="B65" s="36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8"/>
      <c r="N65" s="38"/>
      <c r="O65" s="33"/>
      <c r="P65" s="33"/>
      <c r="Q65" s="34"/>
      <c r="R65" s="35"/>
    </row>
    <row r="66" spans="1:18" s="26" customFormat="1" ht="21.75" customHeight="1">
      <c r="A66" s="33">
        <v>54</v>
      </c>
      <c r="B66" s="36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8"/>
      <c r="N66" s="38"/>
      <c r="O66" s="33"/>
      <c r="P66" s="33"/>
      <c r="Q66" s="34"/>
      <c r="R66" s="35"/>
    </row>
    <row r="67" spans="1:18" s="26" customFormat="1" ht="21.75" customHeight="1">
      <c r="A67" s="33">
        <v>55</v>
      </c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8"/>
      <c r="N67" s="38"/>
      <c r="O67" s="33"/>
      <c r="P67" s="33"/>
      <c r="Q67" s="34"/>
      <c r="R67" s="35"/>
    </row>
    <row r="68" spans="1:18" s="26" customFormat="1" ht="21.75" customHeight="1">
      <c r="A68" s="33">
        <v>56</v>
      </c>
      <c r="B68" s="36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8"/>
      <c r="N68" s="38"/>
      <c r="O68" s="33"/>
      <c r="P68" s="33"/>
      <c r="Q68" s="34"/>
      <c r="R68" s="35"/>
    </row>
    <row r="69" spans="1:18" s="26" customFormat="1" ht="21.75" customHeight="1">
      <c r="A69" s="33">
        <v>57</v>
      </c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 t="str">
        <f t="shared" ref="L69:L112" si="14">IF($B69="","",IF(COUNT(C69:K69)=0,"অনুপস্থিত",IF(COUNT(C69:K69)&lt;7,"অসম্পূর্ণ",SUM(C69:K69))))</f>
        <v/>
      </c>
      <c r="M69" s="38" t="str">
        <f t="shared" ref="M69:M112" si="15">IF($B69="","",IF(COUNT(C69:K69)=0,"অনুপস্থিত",IF(COUNT(C69:K69)&lt;7,"অসম্পূর্ণ",ROUND(SUM(C69:K69)/7,2))))</f>
        <v/>
      </c>
      <c r="N69" s="38" t="str">
        <f t="shared" ref="N69:N112" si="16">IF($B69="","",IF(COUNT(C69:K69)=0,"অনুপস্থিত",IF(COUNT(C69:K69)&lt;7,"অসম্পূর্ণ",ROUND((IF(ISNUMBER(C69),IF(C69&gt;=80,5,IF(C69&gt;=70,4,IF(C69&gt;=60,3.5,IF(C69&gt;=50,3,IF(C69&gt;=40,2,IF(C69&gt;=33,1,0)))))),0) + IF(ISNUMBER(D69),IF(D69&gt;=80,5,IF(D69&gt;=70,4,IF(D69&gt;=60,3.5,IF(D69&gt;=50,3,IF(D69&gt;=40,2,IF(D69&gt;=33,1,0)))))),0) + IF(ISNUMBER(E69),IF(E69&gt;=80,5,IF(E69&gt;=70,4,IF(E69&gt;=60,3.5,IF(E69&gt;=50,3,IF(E69&gt;=40,2,IF(E69&gt;=33,1,0)))))),0) + IF(ISNUMBER(F69),IF(F69&gt;=80,5,IF(F69&gt;=70,4,IF(F69&gt;=60,3.5,IF(F69&gt;=50,3,IF(F69&gt;=40,2,IF(F69&gt;=33,1,0)))))),0) + IF(ISNUMBER(G69),IF(G69&gt;=80,5,IF(G69&gt;=70,4,IF(G69&gt;=60,3.5,IF(G69&gt;=50,3,IF(G69&gt;=40,2,IF(G69&gt;=33,1,0)))))),0) + IF(ISNUMBER(H69),IF(H69&gt;=80,5,IF(H69&gt;=70,4,IF(H69&gt;=60,3.5,IF(H69&gt;=50,3,IF(H69&gt;=40,2,IF(H69&gt;=33,1,0)))))),0) + IF(ISNUMBER(K69),IF(K69&gt;=80,5,IF(K69&gt;=70,4,IF(K69&gt;=60,3.5,IF(K69&gt;=50,3,IF(K69&gt;=40,2,IF(K69&gt;=33,1,0)))))),0))/7,2))))</f>
        <v/>
      </c>
      <c r="O69" s="33" t="str">
        <f t="shared" ref="O69:O112" si="17">IF($B69="","",IF(COUNT(C69:K69)=0,"অনুপস্থিত",IF(COUNT(C69:K69)&lt;7,"অসম্পূর্ণ",IF(MIN(C69:K69)&lt;33,"ফেল",IF(N69=5,"A+",IF(N69&gt;=4,"A",IF(N69&gt;=3.5,"A-",IF(N69&gt;=3,"B",IF(N69&gt;=2,"C",IF(N69&gt;=1,"D","F"))))))))))</f>
        <v/>
      </c>
      <c r="P69" s="33" t="str">
        <f t="shared" ref="P69:P112" si="18">IF($B69="","",IF($O69="ফেল","ফেল",IF($O69="অনুপস্থিত","অনুপস্থিত",IF($O69="অসম্পূর্ণ","অসম্পূর্ণ",IF($Q69=1,"1ম",IF($Q69=2,"2য়",IF($Q69=3,"3য়",$Q69)))))))</f>
        <v/>
      </c>
      <c r="Q69" s="34"/>
      <c r="R69" s="35"/>
    </row>
    <row r="70" spans="1:18" s="26" customFormat="1" ht="21.75" customHeight="1">
      <c r="A70" s="33">
        <v>58</v>
      </c>
      <c r="B70" s="36"/>
      <c r="C70" s="37"/>
      <c r="D70" s="37"/>
      <c r="E70" s="37"/>
      <c r="F70" s="37"/>
      <c r="G70" s="37"/>
      <c r="H70" s="37"/>
      <c r="I70" s="37"/>
      <c r="J70" s="37"/>
      <c r="K70" s="37"/>
      <c r="L70" s="37" t="str">
        <f t="shared" si="14"/>
        <v/>
      </c>
      <c r="M70" s="38" t="str">
        <f t="shared" si="15"/>
        <v/>
      </c>
      <c r="N70" s="38" t="str">
        <f t="shared" si="16"/>
        <v/>
      </c>
      <c r="O70" s="33" t="str">
        <f t="shared" si="17"/>
        <v/>
      </c>
      <c r="P70" s="33" t="str">
        <f t="shared" si="18"/>
        <v/>
      </c>
      <c r="Q70" s="34"/>
      <c r="R70" s="35"/>
    </row>
    <row r="71" spans="1:18" s="26" customFormat="1" ht="21.75" customHeight="1">
      <c r="A71" s="33">
        <v>59</v>
      </c>
      <c r="B71" s="36"/>
      <c r="C71" s="37"/>
      <c r="D71" s="37"/>
      <c r="E71" s="37"/>
      <c r="F71" s="37"/>
      <c r="G71" s="37"/>
      <c r="H71" s="37"/>
      <c r="I71" s="37"/>
      <c r="J71" s="37"/>
      <c r="K71" s="37"/>
      <c r="L71" s="37" t="str">
        <f t="shared" si="14"/>
        <v/>
      </c>
      <c r="M71" s="38" t="str">
        <f t="shared" si="15"/>
        <v/>
      </c>
      <c r="N71" s="38" t="str">
        <f t="shared" si="16"/>
        <v/>
      </c>
      <c r="O71" s="33" t="str">
        <f t="shared" si="17"/>
        <v/>
      </c>
      <c r="P71" s="33" t="str">
        <f t="shared" si="18"/>
        <v/>
      </c>
      <c r="Q71" s="34"/>
      <c r="R71" s="35"/>
    </row>
    <row r="72" spans="1:18" s="26" customFormat="1" ht="21.75" customHeight="1">
      <c r="A72" s="33">
        <v>60</v>
      </c>
      <c r="B72" s="36"/>
      <c r="C72" s="37"/>
      <c r="D72" s="37"/>
      <c r="E72" s="37"/>
      <c r="F72" s="37"/>
      <c r="G72" s="37"/>
      <c r="H72" s="37"/>
      <c r="I72" s="37"/>
      <c r="J72" s="37"/>
      <c r="K72" s="37"/>
      <c r="L72" s="37" t="str">
        <f t="shared" si="14"/>
        <v/>
      </c>
      <c r="M72" s="38" t="str">
        <f t="shared" si="15"/>
        <v/>
      </c>
      <c r="N72" s="38" t="str">
        <f t="shared" si="16"/>
        <v/>
      </c>
      <c r="O72" s="33" t="str">
        <f t="shared" si="17"/>
        <v/>
      </c>
      <c r="P72" s="33" t="str">
        <f t="shared" si="18"/>
        <v/>
      </c>
      <c r="Q72" s="34"/>
      <c r="R72" s="35"/>
    </row>
    <row r="73" spans="1:18" s="26" customFormat="1" ht="21.75" customHeight="1">
      <c r="A73" s="33">
        <v>61</v>
      </c>
      <c r="B73" s="36"/>
      <c r="C73" s="37"/>
      <c r="D73" s="37"/>
      <c r="E73" s="37"/>
      <c r="F73" s="37"/>
      <c r="G73" s="37"/>
      <c r="H73" s="37"/>
      <c r="I73" s="37"/>
      <c r="J73" s="37"/>
      <c r="K73" s="37"/>
      <c r="L73" s="37" t="str">
        <f t="shared" si="14"/>
        <v/>
      </c>
      <c r="M73" s="38" t="str">
        <f t="shared" si="15"/>
        <v/>
      </c>
      <c r="N73" s="38" t="str">
        <f t="shared" si="16"/>
        <v/>
      </c>
      <c r="O73" s="33" t="str">
        <f t="shared" si="17"/>
        <v/>
      </c>
      <c r="P73" s="33" t="str">
        <f t="shared" si="18"/>
        <v/>
      </c>
      <c r="Q73" s="34"/>
      <c r="R73" s="35"/>
    </row>
    <row r="74" spans="1:18" s="26" customFormat="1" ht="21.75" customHeight="1">
      <c r="A74" s="33">
        <v>62</v>
      </c>
      <c r="B74" s="36"/>
      <c r="C74" s="37"/>
      <c r="D74" s="37"/>
      <c r="E74" s="37"/>
      <c r="F74" s="37"/>
      <c r="G74" s="37"/>
      <c r="H74" s="37"/>
      <c r="I74" s="37"/>
      <c r="J74" s="37"/>
      <c r="K74" s="37"/>
      <c r="L74" s="37" t="str">
        <f t="shared" si="14"/>
        <v/>
      </c>
      <c r="M74" s="38" t="str">
        <f t="shared" si="15"/>
        <v/>
      </c>
      <c r="N74" s="38" t="str">
        <f t="shared" si="16"/>
        <v/>
      </c>
      <c r="O74" s="33" t="str">
        <f t="shared" si="17"/>
        <v/>
      </c>
      <c r="P74" s="33" t="str">
        <f t="shared" si="18"/>
        <v/>
      </c>
      <c r="Q74" s="34"/>
      <c r="R74" s="35"/>
    </row>
    <row r="75" spans="1:18" s="26" customFormat="1" ht="21.75" customHeight="1">
      <c r="A75" s="33">
        <v>63</v>
      </c>
      <c r="B75" s="36"/>
      <c r="C75" s="37"/>
      <c r="D75" s="37"/>
      <c r="E75" s="37"/>
      <c r="F75" s="37"/>
      <c r="G75" s="37"/>
      <c r="H75" s="37"/>
      <c r="I75" s="37"/>
      <c r="J75" s="37"/>
      <c r="K75" s="37"/>
      <c r="L75" s="37" t="str">
        <f t="shared" si="14"/>
        <v/>
      </c>
      <c r="M75" s="38" t="str">
        <f t="shared" si="15"/>
        <v/>
      </c>
      <c r="N75" s="38" t="str">
        <f t="shared" si="16"/>
        <v/>
      </c>
      <c r="O75" s="33" t="str">
        <f t="shared" si="17"/>
        <v/>
      </c>
      <c r="P75" s="33" t="str">
        <f t="shared" si="18"/>
        <v/>
      </c>
      <c r="Q75" s="34"/>
      <c r="R75" s="35"/>
    </row>
    <row r="76" spans="1:18" s="26" customFormat="1" ht="21.75" customHeight="1">
      <c r="A76" s="33">
        <v>64</v>
      </c>
      <c r="B76" s="36"/>
      <c r="C76" s="37"/>
      <c r="D76" s="37"/>
      <c r="E76" s="37"/>
      <c r="F76" s="37"/>
      <c r="G76" s="37"/>
      <c r="H76" s="37"/>
      <c r="I76" s="37"/>
      <c r="J76" s="37"/>
      <c r="K76" s="37"/>
      <c r="L76" s="37" t="str">
        <f t="shared" si="14"/>
        <v/>
      </c>
      <c r="M76" s="38" t="str">
        <f t="shared" si="15"/>
        <v/>
      </c>
      <c r="N76" s="38" t="str">
        <f t="shared" si="16"/>
        <v/>
      </c>
      <c r="O76" s="33" t="str">
        <f t="shared" si="17"/>
        <v/>
      </c>
      <c r="P76" s="33" t="str">
        <f t="shared" si="18"/>
        <v/>
      </c>
      <c r="Q76" s="34"/>
      <c r="R76" s="35"/>
    </row>
    <row r="77" spans="1:18" s="26" customFormat="1" ht="21.75" customHeight="1">
      <c r="A77" s="33">
        <v>65</v>
      </c>
      <c r="B77" s="36"/>
      <c r="C77" s="37"/>
      <c r="D77" s="37"/>
      <c r="E77" s="37"/>
      <c r="F77" s="37"/>
      <c r="G77" s="37"/>
      <c r="H77" s="37"/>
      <c r="I77" s="37"/>
      <c r="J77" s="37"/>
      <c r="K77" s="37"/>
      <c r="L77" s="37" t="str">
        <f t="shared" si="14"/>
        <v/>
      </c>
      <c r="M77" s="38" t="str">
        <f t="shared" si="15"/>
        <v/>
      </c>
      <c r="N77" s="38" t="str">
        <f t="shared" si="16"/>
        <v/>
      </c>
      <c r="O77" s="33" t="str">
        <f t="shared" si="17"/>
        <v/>
      </c>
      <c r="P77" s="33" t="str">
        <f t="shared" si="18"/>
        <v/>
      </c>
      <c r="Q77" s="34"/>
      <c r="R77" s="35" t="str">
        <f t="shared" ref="R77:R112" si="19">IF($B77="","",IF(OR($O77="ফেল",$O77="অনুপস্থিত",$O77="অসম্পূর্ণ"),"",$M77))</f>
        <v/>
      </c>
    </row>
    <row r="78" spans="1:18" s="26" customFormat="1" ht="21.75" customHeight="1">
      <c r="A78" s="33">
        <v>66</v>
      </c>
      <c r="B78" s="36"/>
      <c r="C78" s="37"/>
      <c r="D78" s="37"/>
      <c r="E78" s="37"/>
      <c r="F78" s="37"/>
      <c r="G78" s="37"/>
      <c r="H78" s="37"/>
      <c r="I78" s="37"/>
      <c r="J78" s="37"/>
      <c r="K78" s="37"/>
      <c r="L78" s="37" t="str">
        <f t="shared" si="14"/>
        <v/>
      </c>
      <c r="M78" s="38" t="str">
        <f t="shared" si="15"/>
        <v/>
      </c>
      <c r="N78" s="38" t="str">
        <f t="shared" si="16"/>
        <v/>
      </c>
      <c r="O78" s="33" t="str">
        <f t="shared" si="17"/>
        <v/>
      </c>
      <c r="P78" s="33" t="str">
        <f t="shared" si="18"/>
        <v/>
      </c>
      <c r="Q78" s="34" t="str">
        <f t="shared" ref="Q78:Q112" si="20">IF($B78="","",IF(OR($O78="ফেল",$O78="অনুপস্থিত",$O78="অসম্পূর্ণ"),"",1+SUMPRODUCT(($R$14:$R$112&lt;&gt;"")*($R$14:$R$112&gt;$R78)/COUNTIF($R$14:$R$112,$R$14:$R$112))))</f>
        <v/>
      </c>
      <c r="R78" s="35" t="str">
        <f t="shared" si="19"/>
        <v/>
      </c>
    </row>
    <row r="79" spans="1:18" s="26" customFormat="1" ht="21.75" customHeight="1">
      <c r="A79" s="33">
        <v>67</v>
      </c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 t="str">
        <f t="shared" si="14"/>
        <v/>
      </c>
      <c r="M79" s="38" t="str">
        <f t="shared" si="15"/>
        <v/>
      </c>
      <c r="N79" s="38" t="str">
        <f t="shared" si="16"/>
        <v/>
      </c>
      <c r="O79" s="33" t="str">
        <f t="shared" si="17"/>
        <v/>
      </c>
      <c r="P79" s="33" t="str">
        <f t="shared" si="18"/>
        <v/>
      </c>
      <c r="Q79" s="34" t="str">
        <f t="shared" si="20"/>
        <v/>
      </c>
      <c r="R79" s="35" t="str">
        <f t="shared" si="19"/>
        <v/>
      </c>
    </row>
    <row r="80" spans="1:18" s="26" customFormat="1" ht="21.75" customHeight="1">
      <c r="A80" s="33">
        <v>68</v>
      </c>
      <c r="B80" s="36"/>
      <c r="C80" s="37"/>
      <c r="D80" s="37"/>
      <c r="E80" s="37"/>
      <c r="F80" s="37"/>
      <c r="G80" s="37"/>
      <c r="H80" s="37"/>
      <c r="I80" s="37"/>
      <c r="J80" s="37"/>
      <c r="K80" s="37"/>
      <c r="L80" s="37" t="str">
        <f t="shared" si="14"/>
        <v/>
      </c>
      <c r="M80" s="38" t="str">
        <f t="shared" si="15"/>
        <v/>
      </c>
      <c r="N80" s="38" t="str">
        <f t="shared" si="16"/>
        <v/>
      </c>
      <c r="O80" s="33" t="str">
        <f t="shared" si="17"/>
        <v/>
      </c>
      <c r="P80" s="33" t="str">
        <f t="shared" si="18"/>
        <v/>
      </c>
      <c r="Q80" s="34" t="str">
        <f t="shared" si="20"/>
        <v/>
      </c>
      <c r="R80" s="35" t="str">
        <f t="shared" si="19"/>
        <v/>
      </c>
    </row>
    <row r="81" spans="1:18" s="26" customFormat="1" ht="21.75" customHeight="1">
      <c r="A81" s="33">
        <v>69</v>
      </c>
      <c r="B81" s="36"/>
      <c r="C81" s="37"/>
      <c r="D81" s="37"/>
      <c r="E81" s="37"/>
      <c r="F81" s="37"/>
      <c r="G81" s="37"/>
      <c r="H81" s="37"/>
      <c r="I81" s="37"/>
      <c r="J81" s="37"/>
      <c r="K81" s="37"/>
      <c r="L81" s="37" t="str">
        <f t="shared" si="14"/>
        <v/>
      </c>
      <c r="M81" s="38" t="str">
        <f t="shared" si="15"/>
        <v/>
      </c>
      <c r="N81" s="38" t="str">
        <f t="shared" si="16"/>
        <v/>
      </c>
      <c r="O81" s="33" t="str">
        <f t="shared" si="17"/>
        <v/>
      </c>
      <c r="P81" s="33" t="str">
        <f t="shared" si="18"/>
        <v/>
      </c>
      <c r="Q81" s="34" t="str">
        <f t="shared" si="20"/>
        <v/>
      </c>
      <c r="R81" s="35" t="str">
        <f t="shared" si="19"/>
        <v/>
      </c>
    </row>
    <row r="82" spans="1:18" s="26" customFormat="1" ht="21.75" customHeight="1">
      <c r="A82" s="33">
        <v>70</v>
      </c>
      <c r="B82" s="36"/>
      <c r="C82" s="37"/>
      <c r="D82" s="37"/>
      <c r="E82" s="37"/>
      <c r="F82" s="37"/>
      <c r="G82" s="37"/>
      <c r="H82" s="37"/>
      <c r="I82" s="37"/>
      <c r="J82" s="37"/>
      <c r="K82" s="37"/>
      <c r="L82" s="37" t="str">
        <f t="shared" si="14"/>
        <v/>
      </c>
      <c r="M82" s="38" t="str">
        <f t="shared" si="15"/>
        <v/>
      </c>
      <c r="N82" s="38" t="str">
        <f t="shared" si="16"/>
        <v/>
      </c>
      <c r="O82" s="33" t="str">
        <f t="shared" si="17"/>
        <v/>
      </c>
      <c r="P82" s="33" t="str">
        <f t="shared" si="18"/>
        <v/>
      </c>
      <c r="Q82" s="34" t="str">
        <f t="shared" si="20"/>
        <v/>
      </c>
      <c r="R82" s="35" t="str">
        <f t="shared" si="19"/>
        <v/>
      </c>
    </row>
    <row r="83" spans="1:18" s="26" customFormat="1" ht="21.75" customHeight="1">
      <c r="A83" s="33">
        <v>71</v>
      </c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37" t="str">
        <f t="shared" si="14"/>
        <v/>
      </c>
      <c r="M83" s="38" t="str">
        <f t="shared" si="15"/>
        <v/>
      </c>
      <c r="N83" s="38" t="str">
        <f t="shared" si="16"/>
        <v/>
      </c>
      <c r="O83" s="33" t="str">
        <f t="shared" si="17"/>
        <v/>
      </c>
      <c r="P83" s="33" t="str">
        <f t="shared" si="18"/>
        <v/>
      </c>
      <c r="Q83" s="34" t="str">
        <f t="shared" si="20"/>
        <v/>
      </c>
      <c r="R83" s="35" t="str">
        <f t="shared" si="19"/>
        <v/>
      </c>
    </row>
    <row r="84" spans="1:18" s="26" customFormat="1" ht="21.75" customHeight="1">
      <c r="A84" s="33">
        <v>72</v>
      </c>
      <c r="B84" s="36"/>
      <c r="C84" s="37"/>
      <c r="D84" s="37"/>
      <c r="E84" s="37"/>
      <c r="F84" s="37"/>
      <c r="G84" s="37"/>
      <c r="H84" s="37"/>
      <c r="I84" s="37"/>
      <c r="J84" s="37"/>
      <c r="K84" s="37"/>
      <c r="L84" s="37" t="str">
        <f t="shared" si="14"/>
        <v/>
      </c>
      <c r="M84" s="38" t="str">
        <f t="shared" si="15"/>
        <v/>
      </c>
      <c r="N84" s="38" t="str">
        <f t="shared" si="16"/>
        <v/>
      </c>
      <c r="O84" s="33" t="str">
        <f t="shared" si="17"/>
        <v/>
      </c>
      <c r="P84" s="33" t="str">
        <f t="shared" si="18"/>
        <v/>
      </c>
      <c r="Q84" s="34" t="str">
        <f t="shared" si="20"/>
        <v/>
      </c>
      <c r="R84" s="35" t="str">
        <f t="shared" si="19"/>
        <v/>
      </c>
    </row>
    <row r="85" spans="1:18" s="26" customFormat="1" ht="21.75" customHeight="1">
      <c r="A85" s="33">
        <v>73</v>
      </c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 t="str">
        <f t="shared" si="14"/>
        <v/>
      </c>
      <c r="M85" s="38" t="str">
        <f t="shared" si="15"/>
        <v/>
      </c>
      <c r="N85" s="38" t="str">
        <f t="shared" si="16"/>
        <v/>
      </c>
      <c r="O85" s="33" t="str">
        <f t="shared" si="17"/>
        <v/>
      </c>
      <c r="P85" s="33" t="str">
        <f t="shared" si="18"/>
        <v/>
      </c>
      <c r="Q85" s="34" t="str">
        <f t="shared" si="20"/>
        <v/>
      </c>
      <c r="R85" s="35" t="str">
        <f t="shared" si="19"/>
        <v/>
      </c>
    </row>
    <row r="86" spans="1:18" s="26" customFormat="1" ht="21.75" customHeight="1">
      <c r="A86" s="33">
        <v>74</v>
      </c>
      <c r="B86" s="36"/>
      <c r="C86" s="37"/>
      <c r="D86" s="37"/>
      <c r="E86" s="37"/>
      <c r="F86" s="37"/>
      <c r="G86" s="37"/>
      <c r="H86" s="37"/>
      <c r="I86" s="37"/>
      <c r="J86" s="37"/>
      <c r="K86" s="37"/>
      <c r="L86" s="37" t="str">
        <f t="shared" si="14"/>
        <v/>
      </c>
      <c r="M86" s="38" t="str">
        <f t="shared" si="15"/>
        <v/>
      </c>
      <c r="N86" s="38" t="str">
        <f t="shared" si="16"/>
        <v/>
      </c>
      <c r="O86" s="33" t="str">
        <f t="shared" si="17"/>
        <v/>
      </c>
      <c r="P86" s="33" t="str">
        <f t="shared" si="18"/>
        <v/>
      </c>
      <c r="Q86" s="34" t="str">
        <f t="shared" si="20"/>
        <v/>
      </c>
      <c r="R86" s="35" t="str">
        <f t="shared" si="19"/>
        <v/>
      </c>
    </row>
    <row r="87" spans="1:18" s="26" customFormat="1" ht="21.75" customHeight="1">
      <c r="A87" s="33">
        <v>75</v>
      </c>
      <c r="B87" s="36"/>
      <c r="C87" s="37"/>
      <c r="D87" s="37"/>
      <c r="E87" s="37"/>
      <c r="F87" s="37"/>
      <c r="G87" s="37"/>
      <c r="H87" s="37"/>
      <c r="I87" s="37"/>
      <c r="J87" s="37"/>
      <c r="K87" s="37"/>
      <c r="L87" s="37" t="str">
        <f t="shared" si="14"/>
        <v/>
      </c>
      <c r="M87" s="38" t="str">
        <f t="shared" si="15"/>
        <v/>
      </c>
      <c r="N87" s="38" t="str">
        <f t="shared" si="16"/>
        <v/>
      </c>
      <c r="O87" s="33" t="str">
        <f t="shared" si="17"/>
        <v/>
      </c>
      <c r="P87" s="33" t="str">
        <f t="shared" si="18"/>
        <v/>
      </c>
      <c r="Q87" s="34" t="str">
        <f t="shared" si="20"/>
        <v/>
      </c>
      <c r="R87" s="35" t="str">
        <f t="shared" si="19"/>
        <v/>
      </c>
    </row>
    <row r="88" spans="1:18" s="26" customFormat="1" ht="21.75" customHeight="1">
      <c r="A88" s="33">
        <v>76</v>
      </c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37" t="str">
        <f t="shared" si="14"/>
        <v/>
      </c>
      <c r="M88" s="38" t="str">
        <f t="shared" si="15"/>
        <v/>
      </c>
      <c r="N88" s="38" t="str">
        <f t="shared" si="16"/>
        <v/>
      </c>
      <c r="O88" s="33" t="str">
        <f t="shared" si="17"/>
        <v/>
      </c>
      <c r="P88" s="33" t="str">
        <f t="shared" si="18"/>
        <v/>
      </c>
      <c r="Q88" s="34" t="str">
        <f t="shared" si="20"/>
        <v/>
      </c>
      <c r="R88" s="35" t="str">
        <f t="shared" si="19"/>
        <v/>
      </c>
    </row>
    <row r="89" spans="1:18" s="26" customFormat="1" ht="21.75" customHeight="1">
      <c r="A89" s="33">
        <v>77</v>
      </c>
      <c r="B89" s="36"/>
      <c r="C89" s="37"/>
      <c r="D89" s="37"/>
      <c r="E89" s="37"/>
      <c r="F89" s="37"/>
      <c r="G89" s="37"/>
      <c r="H89" s="37"/>
      <c r="I89" s="37"/>
      <c r="J89" s="37"/>
      <c r="K89" s="37"/>
      <c r="L89" s="37" t="str">
        <f t="shared" si="14"/>
        <v/>
      </c>
      <c r="M89" s="38" t="str">
        <f t="shared" si="15"/>
        <v/>
      </c>
      <c r="N89" s="38" t="str">
        <f t="shared" si="16"/>
        <v/>
      </c>
      <c r="O89" s="33" t="str">
        <f t="shared" si="17"/>
        <v/>
      </c>
      <c r="P89" s="33" t="str">
        <f t="shared" si="18"/>
        <v/>
      </c>
      <c r="Q89" s="34" t="str">
        <f t="shared" si="20"/>
        <v/>
      </c>
      <c r="R89" s="35" t="str">
        <f t="shared" si="19"/>
        <v/>
      </c>
    </row>
    <row r="90" spans="1:18" s="26" customFormat="1" ht="21.75" customHeight="1">
      <c r="A90" s="33">
        <v>78</v>
      </c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37" t="str">
        <f t="shared" si="14"/>
        <v/>
      </c>
      <c r="M90" s="38" t="str">
        <f t="shared" si="15"/>
        <v/>
      </c>
      <c r="N90" s="38" t="str">
        <f t="shared" si="16"/>
        <v/>
      </c>
      <c r="O90" s="33" t="str">
        <f t="shared" si="17"/>
        <v/>
      </c>
      <c r="P90" s="33" t="str">
        <f t="shared" si="18"/>
        <v/>
      </c>
      <c r="Q90" s="34" t="str">
        <f t="shared" si="20"/>
        <v/>
      </c>
      <c r="R90" s="35" t="str">
        <f t="shared" si="19"/>
        <v/>
      </c>
    </row>
    <row r="91" spans="1:18" s="26" customFormat="1" ht="21.75" customHeight="1">
      <c r="A91" s="33">
        <v>79</v>
      </c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7" t="str">
        <f t="shared" si="14"/>
        <v/>
      </c>
      <c r="M91" s="38" t="str">
        <f t="shared" si="15"/>
        <v/>
      </c>
      <c r="N91" s="38" t="str">
        <f t="shared" si="16"/>
        <v/>
      </c>
      <c r="O91" s="33" t="str">
        <f t="shared" si="17"/>
        <v/>
      </c>
      <c r="P91" s="33" t="str">
        <f t="shared" si="18"/>
        <v/>
      </c>
      <c r="Q91" s="34" t="str">
        <f t="shared" si="20"/>
        <v/>
      </c>
      <c r="R91" s="35" t="str">
        <f t="shared" si="19"/>
        <v/>
      </c>
    </row>
    <row r="92" spans="1:18" s="26" customFormat="1" ht="21.75" customHeight="1">
      <c r="A92" s="33">
        <v>80</v>
      </c>
      <c r="B92" s="36"/>
      <c r="C92" s="37"/>
      <c r="D92" s="37"/>
      <c r="E92" s="37"/>
      <c r="F92" s="37"/>
      <c r="G92" s="37"/>
      <c r="H92" s="37"/>
      <c r="I92" s="37"/>
      <c r="J92" s="37"/>
      <c r="K92" s="37"/>
      <c r="L92" s="37" t="str">
        <f t="shared" si="14"/>
        <v/>
      </c>
      <c r="M92" s="38" t="str">
        <f t="shared" si="15"/>
        <v/>
      </c>
      <c r="N92" s="38" t="str">
        <f t="shared" si="16"/>
        <v/>
      </c>
      <c r="O92" s="33" t="str">
        <f t="shared" si="17"/>
        <v/>
      </c>
      <c r="P92" s="33" t="str">
        <f t="shared" si="18"/>
        <v/>
      </c>
      <c r="Q92" s="34" t="str">
        <f t="shared" si="20"/>
        <v/>
      </c>
      <c r="R92" s="35" t="str">
        <f t="shared" si="19"/>
        <v/>
      </c>
    </row>
    <row r="93" spans="1:18" s="26" customFormat="1" ht="21.75" customHeight="1">
      <c r="A93" s="33">
        <v>81</v>
      </c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 t="str">
        <f t="shared" si="14"/>
        <v/>
      </c>
      <c r="M93" s="38" t="str">
        <f t="shared" si="15"/>
        <v/>
      </c>
      <c r="N93" s="38" t="str">
        <f t="shared" si="16"/>
        <v/>
      </c>
      <c r="O93" s="33" t="str">
        <f t="shared" si="17"/>
        <v/>
      </c>
      <c r="P93" s="33" t="str">
        <f t="shared" si="18"/>
        <v/>
      </c>
      <c r="Q93" s="34" t="str">
        <f t="shared" si="20"/>
        <v/>
      </c>
      <c r="R93" s="35" t="str">
        <f t="shared" si="19"/>
        <v/>
      </c>
    </row>
    <row r="94" spans="1:18" s="26" customFormat="1" ht="21.75" customHeight="1">
      <c r="A94" s="33">
        <v>82</v>
      </c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 t="str">
        <f t="shared" si="14"/>
        <v/>
      </c>
      <c r="M94" s="38" t="str">
        <f t="shared" si="15"/>
        <v/>
      </c>
      <c r="N94" s="38" t="str">
        <f t="shared" si="16"/>
        <v/>
      </c>
      <c r="O94" s="33" t="str">
        <f t="shared" si="17"/>
        <v/>
      </c>
      <c r="P94" s="33" t="str">
        <f t="shared" si="18"/>
        <v/>
      </c>
      <c r="Q94" s="34" t="str">
        <f t="shared" si="20"/>
        <v/>
      </c>
      <c r="R94" s="35" t="str">
        <f t="shared" si="19"/>
        <v/>
      </c>
    </row>
    <row r="95" spans="1:18" s="26" customFormat="1" ht="21.75" customHeight="1">
      <c r="A95" s="33">
        <v>83</v>
      </c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37" t="str">
        <f t="shared" si="14"/>
        <v/>
      </c>
      <c r="M95" s="38" t="str">
        <f t="shared" si="15"/>
        <v/>
      </c>
      <c r="N95" s="38" t="str">
        <f t="shared" si="16"/>
        <v/>
      </c>
      <c r="O95" s="33" t="str">
        <f t="shared" si="17"/>
        <v/>
      </c>
      <c r="P95" s="33" t="str">
        <f t="shared" si="18"/>
        <v/>
      </c>
      <c r="Q95" s="34" t="str">
        <f t="shared" si="20"/>
        <v/>
      </c>
      <c r="R95" s="35" t="str">
        <f t="shared" si="19"/>
        <v/>
      </c>
    </row>
    <row r="96" spans="1:18" s="26" customFormat="1" ht="21.75" customHeight="1">
      <c r="A96" s="33">
        <v>84</v>
      </c>
      <c r="B96" s="36"/>
      <c r="C96" s="37"/>
      <c r="D96" s="37"/>
      <c r="E96" s="37"/>
      <c r="F96" s="37"/>
      <c r="G96" s="37"/>
      <c r="H96" s="37"/>
      <c r="I96" s="37"/>
      <c r="J96" s="37"/>
      <c r="K96" s="37"/>
      <c r="L96" s="37" t="str">
        <f t="shared" si="14"/>
        <v/>
      </c>
      <c r="M96" s="38" t="str">
        <f t="shared" si="15"/>
        <v/>
      </c>
      <c r="N96" s="38" t="str">
        <f t="shared" si="16"/>
        <v/>
      </c>
      <c r="O96" s="33" t="str">
        <f t="shared" si="17"/>
        <v/>
      </c>
      <c r="P96" s="33" t="str">
        <f t="shared" si="18"/>
        <v/>
      </c>
      <c r="Q96" s="34" t="str">
        <f t="shared" si="20"/>
        <v/>
      </c>
      <c r="R96" s="35" t="str">
        <f t="shared" si="19"/>
        <v/>
      </c>
    </row>
    <row r="97" spans="1:18" s="26" customFormat="1" ht="21.75" customHeight="1">
      <c r="A97" s="33">
        <v>85</v>
      </c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 t="str">
        <f t="shared" si="14"/>
        <v/>
      </c>
      <c r="M97" s="38" t="str">
        <f t="shared" si="15"/>
        <v/>
      </c>
      <c r="N97" s="38" t="str">
        <f t="shared" si="16"/>
        <v/>
      </c>
      <c r="O97" s="33" t="str">
        <f t="shared" si="17"/>
        <v/>
      </c>
      <c r="P97" s="33" t="str">
        <f t="shared" si="18"/>
        <v/>
      </c>
      <c r="Q97" s="34" t="str">
        <f t="shared" si="20"/>
        <v/>
      </c>
      <c r="R97" s="35" t="str">
        <f t="shared" si="19"/>
        <v/>
      </c>
    </row>
    <row r="98" spans="1:18" s="26" customFormat="1" ht="21.75" customHeight="1">
      <c r="A98" s="33">
        <v>86</v>
      </c>
      <c r="B98" s="36"/>
      <c r="C98" s="37"/>
      <c r="D98" s="37"/>
      <c r="E98" s="37"/>
      <c r="F98" s="37"/>
      <c r="G98" s="37"/>
      <c r="H98" s="37"/>
      <c r="I98" s="37"/>
      <c r="J98" s="37"/>
      <c r="K98" s="37"/>
      <c r="L98" s="37" t="str">
        <f t="shared" si="14"/>
        <v/>
      </c>
      <c r="M98" s="38" t="str">
        <f t="shared" si="15"/>
        <v/>
      </c>
      <c r="N98" s="38" t="str">
        <f t="shared" si="16"/>
        <v/>
      </c>
      <c r="O98" s="33" t="str">
        <f t="shared" si="17"/>
        <v/>
      </c>
      <c r="P98" s="33" t="str">
        <f t="shared" si="18"/>
        <v/>
      </c>
      <c r="Q98" s="34" t="str">
        <f t="shared" si="20"/>
        <v/>
      </c>
      <c r="R98" s="35" t="str">
        <f t="shared" si="19"/>
        <v/>
      </c>
    </row>
    <row r="99" spans="1:18" s="26" customFormat="1" ht="21.75" customHeight="1">
      <c r="A99" s="33">
        <v>87</v>
      </c>
      <c r="B99" s="36"/>
      <c r="C99" s="37"/>
      <c r="D99" s="37"/>
      <c r="E99" s="37"/>
      <c r="F99" s="37"/>
      <c r="G99" s="37"/>
      <c r="H99" s="37"/>
      <c r="I99" s="37"/>
      <c r="J99" s="37"/>
      <c r="K99" s="37"/>
      <c r="L99" s="37" t="str">
        <f t="shared" si="14"/>
        <v/>
      </c>
      <c r="M99" s="38" t="str">
        <f t="shared" si="15"/>
        <v/>
      </c>
      <c r="N99" s="38" t="str">
        <f t="shared" si="16"/>
        <v/>
      </c>
      <c r="O99" s="33" t="str">
        <f t="shared" si="17"/>
        <v/>
      </c>
      <c r="P99" s="33" t="str">
        <f t="shared" si="18"/>
        <v/>
      </c>
      <c r="Q99" s="34" t="str">
        <f t="shared" si="20"/>
        <v/>
      </c>
      <c r="R99" s="35" t="str">
        <f t="shared" si="19"/>
        <v/>
      </c>
    </row>
    <row r="100" spans="1:18" s="26" customFormat="1" ht="21.75" customHeight="1">
      <c r="A100" s="33">
        <v>88</v>
      </c>
      <c r="B100" s="36"/>
      <c r="C100" s="37"/>
      <c r="D100" s="37"/>
      <c r="E100" s="37"/>
      <c r="F100" s="37"/>
      <c r="G100" s="37"/>
      <c r="H100" s="37"/>
      <c r="I100" s="37"/>
      <c r="J100" s="37"/>
      <c r="K100" s="37"/>
      <c r="L100" s="37" t="str">
        <f t="shared" si="14"/>
        <v/>
      </c>
      <c r="M100" s="38" t="str">
        <f t="shared" si="15"/>
        <v/>
      </c>
      <c r="N100" s="38" t="str">
        <f t="shared" si="16"/>
        <v/>
      </c>
      <c r="O100" s="33" t="str">
        <f t="shared" si="17"/>
        <v/>
      </c>
      <c r="P100" s="33" t="str">
        <f t="shared" si="18"/>
        <v/>
      </c>
      <c r="Q100" s="34" t="str">
        <f t="shared" si="20"/>
        <v/>
      </c>
      <c r="R100" s="35" t="str">
        <f t="shared" si="19"/>
        <v/>
      </c>
    </row>
    <row r="101" spans="1:18" s="26" customFormat="1" ht="21.75" customHeight="1">
      <c r="A101" s="33">
        <v>89</v>
      </c>
      <c r="B101" s="36"/>
      <c r="C101" s="37"/>
      <c r="D101" s="37"/>
      <c r="E101" s="37"/>
      <c r="F101" s="37"/>
      <c r="G101" s="37"/>
      <c r="H101" s="37"/>
      <c r="I101" s="37"/>
      <c r="J101" s="37"/>
      <c r="K101" s="37"/>
      <c r="L101" s="37" t="str">
        <f t="shared" si="14"/>
        <v/>
      </c>
      <c r="M101" s="38" t="str">
        <f t="shared" si="15"/>
        <v/>
      </c>
      <c r="N101" s="38" t="str">
        <f t="shared" si="16"/>
        <v/>
      </c>
      <c r="O101" s="33" t="str">
        <f t="shared" si="17"/>
        <v/>
      </c>
      <c r="P101" s="33" t="str">
        <f t="shared" si="18"/>
        <v/>
      </c>
      <c r="Q101" s="34" t="str">
        <f t="shared" si="20"/>
        <v/>
      </c>
      <c r="R101" s="35" t="str">
        <f t="shared" si="19"/>
        <v/>
      </c>
    </row>
    <row r="102" spans="1:18" s="26" customFormat="1" ht="21.75" customHeight="1">
      <c r="A102" s="33">
        <v>90</v>
      </c>
      <c r="B102" s="36"/>
      <c r="C102" s="37"/>
      <c r="D102" s="37"/>
      <c r="E102" s="37"/>
      <c r="F102" s="37"/>
      <c r="G102" s="37"/>
      <c r="H102" s="37"/>
      <c r="I102" s="37"/>
      <c r="J102" s="37"/>
      <c r="K102" s="37"/>
      <c r="L102" s="37" t="str">
        <f t="shared" si="14"/>
        <v/>
      </c>
      <c r="M102" s="38" t="str">
        <f t="shared" si="15"/>
        <v/>
      </c>
      <c r="N102" s="38" t="str">
        <f t="shared" si="16"/>
        <v/>
      </c>
      <c r="O102" s="33" t="str">
        <f t="shared" si="17"/>
        <v/>
      </c>
      <c r="P102" s="33" t="str">
        <f t="shared" si="18"/>
        <v/>
      </c>
      <c r="Q102" s="34" t="str">
        <f t="shared" si="20"/>
        <v/>
      </c>
      <c r="R102" s="35" t="str">
        <f t="shared" si="19"/>
        <v/>
      </c>
    </row>
    <row r="103" spans="1:18" s="26" customFormat="1" ht="21.75" customHeight="1">
      <c r="A103" s="33">
        <v>91</v>
      </c>
      <c r="B103" s="36"/>
      <c r="C103" s="37"/>
      <c r="D103" s="37"/>
      <c r="E103" s="37"/>
      <c r="F103" s="37"/>
      <c r="G103" s="37"/>
      <c r="H103" s="37"/>
      <c r="I103" s="37"/>
      <c r="J103" s="37"/>
      <c r="K103" s="37"/>
      <c r="L103" s="37" t="str">
        <f t="shared" si="14"/>
        <v/>
      </c>
      <c r="M103" s="38" t="str">
        <f t="shared" si="15"/>
        <v/>
      </c>
      <c r="N103" s="38" t="str">
        <f t="shared" si="16"/>
        <v/>
      </c>
      <c r="O103" s="33" t="str">
        <f t="shared" si="17"/>
        <v/>
      </c>
      <c r="P103" s="33" t="str">
        <f t="shared" si="18"/>
        <v/>
      </c>
      <c r="Q103" s="34" t="str">
        <f t="shared" si="20"/>
        <v/>
      </c>
      <c r="R103" s="35" t="str">
        <f t="shared" si="19"/>
        <v/>
      </c>
    </row>
    <row r="104" spans="1:18" s="26" customFormat="1" ht="21.75" customHeight="1">
      <c r="A104" s="33">
        <v>92</v>
      </c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37" t="str">
        <f t="shared" si="14"/>
        <v/>
      </c>
      <c r="M104" s="38" t="str">
        <f t="shared" si="15"/>
        <v/>
      </c>
      <c r="N104" s="38" t="str">
        <f t="shared" si="16"/>
        <v/>
      </c>
      <c r="O104" s="33" t="str">
        <f t="shared" si="17"/>
        <v/>
      </c>
      <c r="P104" s="33" t="str">
        <f t="shared" si="18"/>
        <v/>
      </c>
      <c r="Q104" s="34" t="str">
        <f t="shared" si="20"/>
        <v/>
      </c>
      <c r="R104" s="35" t="str">
        <f t="shared" si="19"/>
        <v/>
      </c>
    </row>
    <row r="105" spans="1:18" s="26" customFormat="1" ht="21.75" customHeight="1">
      <c r="A105" s="33">
        <v>93</v>
      </c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 t="str">
        <f t="shared" si="14"/>
        <v/>
      </c>
      <c r="M105" s="38" t="str">
        <f t="shared" si="15"/>
        <v/>
      </c>
      <c r="N105" s="38" t="str">
        <f t="shared" si="16"/>
        <v/>
      </c>
      <c r="O105" s="33" t="str">
        <f t="shared" si="17"/>
        <v/>
      </c>
      <c r="P105" s="33" t="str">
        <f t="shared" si="18"/>
        <v/>
      </c>
      <c r="Q105" s="34" t="str">
        <f t="shared" si="20"/>
        <v/>
      </c>
      <c r="R105" s="35" t="str">
        <f t="shared" si="19"/>
        <v/>
      </c>
    </row>
    <row r="106" spans="1:18" s="26" customFormat="1" ht="21.75" customHeight="1">
      <c r="A106" s="33">
        <v>94</v>
      </c>
      <c r="B106" s="36"/>
      <c r="C106" s="37"/>
      <c r="D106" s="37"/>
      <c r="E106" s="37"/>
      <c r="F106" s="37"/>
      <c r="G106" s="37"/>
      <c r="H106" s="37"/>
      <c r="I106" s="37"/>
      <c r="J106" s="37"/>
      <c r="K106" s="37"/>
      <c r="L106" s="37" t="str">
        <f t="shared" si="14"/>
        <v/>
      </c>
      <c r="M106" s="38" t="str">
        <f t="shared" si="15"/>
        <v/>
      </c>
      <c r="N106" s="38" t="str">
        <f t="shared" si="16"/>
        <v/>
      </c>
      <c r="O106" s="33" t="str">
        <f t="shared" si="17"/>
        <v/>
      </c>
      <c r="P106" s="33" t="str">
        <f t="shared" si="18"/>
        <v/>
      </c>
      <c r="Q106" s="34" t="str">
        <f t="shared" si="20"/>
        <v/>
      </c>
      <c r="R106" s="35" t="str">
        <f t="shared" si="19"/>
        <v/>
      </c>
    </row>
    <row r="107" spans="1:18" s="26" customFormat="1" ht="21.75" customHeight="1">
      <c r="A107" s="33">
        <v>95</v>
      </c>
      <c r="B107" s="36"/>
      <c r="C107" s="37"/>
      <c r="D107" s="37"/>
      <c r="E107" s="37"/>
      <c r="F107" s="37"/>
      <c r="G107" s="37"/>
      <c r="H107" s="37"/>
      <c r="I107" s="37"/>
      <c r="J107" s="37"/>
      <c r="K107" s="37"/>
      <c r="L107" s="37" t="str">
        <f t="shared" si="14"/>
        <v/>
      </c>
      <c r="M107" s="38" t="str">
        <f t="shared" si="15"/>
        <v/>
      </c>
      <c r="N107" s="38" t="str">
        <f t="shared" si="16"/>
        <v/>
      </c>
      <c r="O107" s="33" t="str">
        <f t="shared" si="17"/>
        <v/>
      </c>
      <c r="P107" s="33" t="str">
        <f t="shared" si="18"/>
        <v/>
      </c>
      <c r="Q107" s="34" t="str">
        <f t="shared" si="20"/>
        <v/>
      </c>
      <c r="R107" s="35" t="str">
        <f t="shared" si="19"/>
        <v/>
      </c>
    </row>
    <row r="108" spans="1:18" s="26" customFormat="1" ht="21.75" customHeight="1">
      <c r="A108" s="33">
        <v>96</v>
      </c>
      <c r="B108" s="36"/>
      <c r="C108" s="37"/>
      <c r="D108" s="37"/>
      <c r="E108" s="37"/>
      <c r="F108" s="37"/>
      <c r="G108" s="37"/>
      <c r="H108" s="37"/>
      <c r="I108" s="37"/>
      <c r="J108" s="37"/>
      <c r="K108" s="37"/>
      <c r="L108" s="37" t="str">
        <f t="shared" si="14"/>
        <v/>
      </c>
      <c r="M108" s="38" t="str">
        <f t="shared" si="15"/>
        <v/>
      </c>
      <c r="N108" s="38" t="str">
        <f t="shared" si="16"/>
        <v/>
      </c>
      <c r="O108" s="33" t="str">
        <f t="shared" si="17"/>
        <v/>
      </c>
      <c r="P108" s="33" t="str">
        <f t="shared" si="18"/>
        <v/>
      </c>
      <c r="Q108" s="34" t="str">
        <f t="shared" si="20"/>
        <v/>
      </c>
      <c r="R108" s="35" t="str">
        <f t="shared" si="19"/>
        <v/>
      </c>
    </row>
    <row r="109" spans="1:18" s="26" customFormat="1" ht="21.75" customHeight="1">
      <c r="A109" s="33">
        <v>97</v>
      </c>
      <c r="B109" s="36"/>
      <c r="C109" s="37"/>
      <c r="D109" s="37"/>
      <c r="E109" s="37"/>
      <c r="F109" s="37"/>
      <c r="G109" s="37"/>
      <c r="H109" s="37"/>
      <c r="I109" s="37"/>
      <c r="J109" s="37"/>
      <c r="K109" s="37"/>
      <c r="L109" s="37" t="str">
        <f t="shared" si="14"/>
        <v/>
      </c>
      <c r="M109" s="38" t="str">
        <f t="shared" si="15"/>
        <v/>
      </c>
      <c r="N109" s="38" t="str">
        <f t="shared" si="16"/>
        <v/>
      </c>
      <c r="O109" s="33" t="str">
        <f t="shared" si="17"/>
        <v/>
      </c>
      <c r="P109" s="33" t="str">
        <f t="shared" si="18"/>
        <v/>
      </c>
      <c r="Q109" s="34" t="str">
        <f t="shared" si="20"/>
        <v/>
      </c>
      <c r="R109" s="35" t="str">
        <f t="shared" si="19"/>
        <v/>
      </c>
    </row>
    <row r="110" spans="1:18" s="26" customFormat="1" ht="21.75" customHeight="1">
      <c r="A110" s="33">
        <v>98</v>
      </c>
      <c r="B110" s="36"/>
      <c r="C110" s="37"/>
      <c r="D110" s="37"/>
      <c r="E110" s="37"/>
      <c r="F110" s="37"/>
      <c r="G110" s="37"/>
      <c r="H110" s="37"/>
      <c r="I110" s="37"/>
      <c r="J110" s="37"/>
      <c r="K110" s="37"/>
      <c r="L110" s="37" t="str">
        <f t="shared" si="14"/>
        <v/>
      </c>
      <c r="M110" s="38" t="str">
        <f t="shared" si="15"/>
        <v/>
      </c>
      <c r="N110" s="38" t="str">
        <f t="shared" si="16"/>
        <v/>
      </c>
      <c r="O110" s="33" t="str">
        <f t="shared" si="17"/>
        <v/>
      </c>
      <c r="P110" s="33" t="str">
        <f t="shared" si="18"/>
        <v/>
      </c>
      <c r="Q110" s="34" t="str">
        <f t="shared" si="20"/>
        <v/>
      </c>
      <c r="R110" s="35" t="str">
        <f t="shared" si="19"/>
        <v/>
      </c>
    </row>
    <row r="111" spans="1:18" s="26" customFormat="1" ht="21.75" customHeight="1">
      <c r="A111" s="33">
        <v>99</v>
      </c>
      <c r="B111" s="36"/>
      <c r="C111" s="37"/>
      <c r="D111" s="37"/>
      <c r="E111" s="37"/>
      <c r="F111" s="37"/>
      <c r="G111" s="37"/>
      <c r="H111" s="37"/>
      <c r="I111" s="37"/>
      <c r="J111" s="37"/>
      <c r="K111" s="37"/>
      <c r="L111" s="37" t="str">
        <f t="shared" si="14"/>
        <v/>
      </c>
      <c r="M111" s="38" t="str">
        <f t="shared" si="15"/>
        <v/>
      </c>
      <c r="N111" s="38" t="str">
        <f t="shared" si="16"/>
        <v/>
      </c>
      <c r="O111" s="33" t="str">
        <f t="shared" si="17"/>
        <v/>
      </c>
      <c r="P111" s="33" t="str">
        <f t="shared" si="18"/>
        <v/>
      </c>
      <c r="Q111" s="34" t="str">
        <f t="shared" si="20"/>
        <v/>
      </c>
      <c r="R111" s="35" t="str">
        <f t="shared" si="19"/>
        <v/>
      </c>
    </row>
    <row r="112" spans="1:18" s="26" customFormat="1" ht="21.75" customHeight="1">
      <c r="A112" s="33">
        <v>100</v>
      </c>
      <c r="B112" s="36"/>
      <c r="C112" s="37"/>
      <c r="D112" s="37"/>
      <c r="E112" s="37"/>
      <c r="F112" s="37"/>
      <c r="G112" s="37"/>
      <c r="H112" s="37"/>
      <c r="I112" s="37"/>
      <c r="J112" s="37"/>
      <c r="K112" s="37"/>
      <c r="L112" s="37" t="str">
        <f t="shared" si="14"/>
        <v/>
      </c>
      <c r="M112" s="38" t="str">
        <f t="shared" si="15"/>
        <v/>
      </c>
      <c r="N112" s="38" t="str">
        <f t="shared" si="16"/>
        <v/>
      </c>
      <c r="O112" s="33" t="str">
        <f t="shared" si="17"/>
        <v/>
      </c>
      <c r="P112" s="33" t="str">
        <f t="shared" si="18"/>
        <v/>
      </c>
      <c r="Q112" s="34" t="str">
        <f t="shared" si="20"/>
        <v/>
      </c>
      <c r="R112" s="35" t="str">
        <f t="shared" si="19"/>
        <v/>
      </c>
    </row>
    <row r="113" spans="1:18" s="26" customFormat="1" ht="1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1:18" s="26" customFormat="1" ht="1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</row>
    <row r="115" spans="1:18" s="26" customFormat="1" ht="15" customHeight="1">
      <c r="A115" s="117" t="s">
        <v>58</v>
      </c>
      <c r="B115" s="117"/>
      <c r="C115" s="117"/>
      <c r="D115" s="117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</row>
    <row r="116" spans="1:18" s="26" customFormat="1" ht="15" customHeight="1">
      <c r="A116" s="40" t="s">
        <v>3</v>
      </c>
      <c r="B116" s="40" t="s">
        <v>4</v>
      </c>
      <c r="C116" s="40">
        <v>5</v>
      </c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</row>
    <row r="117" spans="1:18" s="26" customFormat="1" ht="15" customHeight="1">
      <c r="A117" s="40" t="s">
        <v>6</v>
      </c>
      <c r="B117" s="40" t="s">
        <v>7</v>
      </c>
      <c r="C117" s="40">
        <v>4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1:18" s="26" customFormat="1" ht="15" customHeight="1">
      <c r="A118" s="40" t="s">
        <v>59</v>
      </c>
      <c r="B118" s="40" t="s">
        <v>9</v>
      </c>
      <c r="C118" s="40">
        <v>3.5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</row>
    <row r="119" spans="1:18" s="26" customFormat="1" ht="15" customHeight="1">
      <c r="A119" s="40" t="s">
        <v>60</v>
      </c>
      <c r="B119" s="40" t="s">
        <v>11</v>
      </c>
      <c r="C119" s="40">
        <v>3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</row>
    <row r="120" spans="1:18" s="26" customFormat="1" ht="15" customHeight="1">
      <c r="A120" s="40" t="s">
        <v>61</v>
      </c>
      <c r="B120" s="40" t="s">
        <v>13</v>
      </c>
      <c r="C120" s="40">
        <v>2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</row>
    <row r="121" spans="1:18" s="26" customFormat="1" ht="15" customHeight="1">
      <c r="A121" s="40" t="s">
        <v>62</v>
      </c>
      <c r="B121" s="40" t="s">
        <v>15</v>
      </c>
      <c r="C121" s="40">
        <v>1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1:18" s="26" customFormat="1" ht="15" customHeight="1">
      <c r="A122" s="40" t="s">
        <v>17</v>
      </c>
      <c r="B122" s="40" t="s">
        <v>18</v>
      </c>
      <c r="C122" s="40">
        <v>0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</row>
    <row r="123" spans="1:18" s="26" customFormat="1" ht="15" customHeight="1">
      <c r="A123" s="118" t="s">
        <v>63</v>
      </c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39"/>
      <c r="R123" s="39"/>
    </row>
    <row r="124" spans="1:18" s="26" customFormat="1" ht="1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</row>
  </sheetData>
  <mergeCells count="9">
    <mergeCell ref="A115:D115"/>
    <mergeCell ref="A123:P123"/>
    <mergeCell ref="N1:P1"/>
    <mergeCell ref="N4:P4"/>
    <mergeCell ref="C6:M7"/>
    <mergeCell ref="A10:B11"/>
    <mergeCell ref="D10:F11"/>
    <mergeCell ref="G10:G11"/>
    <mergeCell ref="H10:L11"/>
  </mergeCells>
  <conditionalFormatting sqref="O14:O29">
    <cfRule type="cellIs" dxfId="8" priority="2" operator="equal">
      <formula>"ফেল"</formula>
    </cfRule>
  </conditionalFormatting>
  <conditionalFormatting sqref="O30:O112">
    <cfRule type="cellIs" dxfId="7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2"/>
  <sheetViews>
    <sheetView topLeftCell="A3" zoomScale="85" zoomScaleNormal="85" workbookViewId="0">
      <selection activeCell="F17" sqref="F17"/>
    </sheetView>
  </sheetViews>
  <sheetFormatPr defaultColWidth="8.7109375" defaultRowHeight="15" customHeight="1"/>
  <cols>
    <col min="1" max="1" width="6.85546875" style="83" customWidth="1"/>
    <col min="2" max="2" width="27.5703125" style="83" customWidth="1"/>
    <col min="3" max="13" width="13.28515625" style="83" customWidth="1"/>
    <col min="14" max="14" width="10" style="83" hidden="1" customWidth="1"/>
    <col min="15" max="15" width="13" style="83" hidden="1" customWidth="1"/>
    <col min="16" max="16384" width="8.7109375" style="84"/>
  </cols>
  <sheetData>
    <row r="1" spans="1:16" ht="19.5" hidden="1" customHeight="1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131"/>
      <c r="L1" s="131"/>
      <c r="M1" s="131"/>
    </row>
    <row r="2" spans="1:16" ht="8.25" hidden="1" customHeight="1">
      <c r="A2" s="85"/>
      <c r="B2" s="85" t="s">
        <v>64</v>
      </c>
      <c r="C2" s="85"/>
      <c r="D2" s="85"/>
      <c r="E2" s="85"/>
      <c r="F2" s="85"/>
      <c r="G2" s="85"/>
      <c r="H2" s="85"/>
      <c r="I2" s="85"/>
      <c r="J2" s="85"/>
      <c r="K2" s="86"/>
      <c r="L2" s="87"/>
      <c r="M2" s="88"/>
    </row>
    <row r="3" spans="1:16" ht="13.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7"/>
      <c r="L3" s="87"/>
      <c r="M3" s="87"/>
    </row>
    <row r="4" spans="1:16" ht="23.1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132" t="s">
        <v>2</v>
      </c>
      <c r="L4" s="132"/>
      <c r="M4" s="132"/>
    </row>
    <row r="5" spans="1:16" ht="23.1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9" t="s">
        <v>3</v>
      </c>
      <c r="L5" s="89" t="s">
        <v>4</v>
      </c>
      <c r="M5" s="89">
        <v>5</v>
      </c>
    </row>
    <row r="6" spans="1:16" ht="23.1" customHeight="1">
      <c r="A6" s="85"/>
      <c r="B6" s="85"/>
      <c r="C6" s="215" t="s">
        <v>203</v>
      </c>
      <c r="D6" s="133"/>
      <c r="E6" s="133"/>
      <c r="F6" s="133"/>
      <c r="G6" s="133"/>
      <c r="H6" s="133"/>
      <c r="I6" s="133"/>
      <c r="J6" s="133"/>
      <c r="K6" s="90" t="s">
        <v>6</v>
      </c>
      <c r="L6" s="91" t="s">
        <v>7</v>
      </c>
      <c r="M6" s="92">
        <v>4</v>
      </c>
    </row>
    <row r="7" spans="1:16" ht="23.1" customHeight="1">
      <c r="A7" s="85"/>
      <c r="B7" s="85"/>
      <c r="C7" s="133"/>
      <c r="D7" s="133"/>
      <c r="E7" s="133"/>
      <c r="F7" s="133"/>
      <c r="G7" s="133"/>
      <c r="H7" s="133"/>
      <c r="I7" s="133"/>
      <c r="J7" s="133"/>
      <c r="K7" s="93" t="s">
        <v>8</v>
      </c>
      <c r="L7" s="89" t="s">
        <v>9</v>
      </c>
      <c r="M7" s="94">
        <v>3.5</v>
      </c>
    </row>
    <row r="8" spans="1:16" ht="23.1" customHeight="1">
      <c r="A8" s="85"/>
      <c r="B8" s="85"/>
      <c r="C8" s="85"/>
      <c r="D8" s="85"/>
      <c r="E8" s="85"/>
      <c r="F8" s="85"/>
      <c r="G8" s="85"/>
      <c r="H8" s="85"/>
      <c r="I8" s="85"/>
      <c r="J8" s="85"/>
      <c r="K8" s="93" t="s">
        <v>10</v>
      </c>
      <c r="L8" s="89" t="s">
        <v>11</v>
      </c>
      <c r="M8" s="94">
        <v>3</v>
      </c>
    </row>
    <row r="9" spans="1:16" ht="23.1" customHeight="1">
      <c r="A9" s="85"/>
      <c r="B9" s="85"/>
      <c r="C9" s="85"/>
      <c r="D9" s="85"/>
      <c r="E9" s="85"/>
      <c r="F9" s="85"/>
      <c r="G9" s="85"/>
      <c r="H9" s="85"/>
      <c r="I9" s="85"/>
      <c r="J9" s="85"/>
      <c r="K9" s="93" t="s">
        <v>12</v>
      </c>
      <c r="L9" s="89" t="s">
        <v>13</v>
      </c>
      <c r="M9" s="94">
        <v>2</v>
      </c>
    </row>
    <row r="10" spans="1:16" ht="23.1" customHeight="1">
      <c r="A10" s="134"/>
      <c r="B10" s="134"/>
      <c r="C10" s="95"/>
      <c r="D10" s="135"/>
      <c r="E10" s="135"/>
      <c r="F10" s="136"/>
      <c r="G10" s="137"/>
      <c r="H10" s="137"/>
      <c r="I10" s="137"/>
      <c r="J10" s="96"/>
      <c r="K10" s="93" t="s">
        <v>14</v>
      </c>
      <c r="L10" s="89" t="s">
        <v>15</v>
      </c>
      <c r="M10" s="94">
        <v>1</v>
      </c>
      <c r="P10" s="84" t="s">
        <v>16</v>
      </c>
    </row>
    <row r="11" spans="1:16" ht="23.1" customHeight="1">
      <c r="A11" s="134"/>
      <c r="B11" s="134"/>
      <c r="C11" s="95"/>
      <c r="D11" s="135"/>
      <c r="E11" s="135"/>
      <c r="F11" s="136"/>
      <c r="G11" s="137"/>
      <c r="H11" s="137"/>
      <c r="I11" s="137"/>
      <c r="J11" s="96"/>
      <c r="K11" s="97" t="s">
        <v>17</v>
      </c>
      <c r="L11" s="98" t="s">
        <v>18</v>
      </c>
      <c r="M11" s="99">
        <v>0</v>
      </c>
    </row>
    <row r="12" spans="1:16" ht="6.7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</row>
    <row r="13" spans="1:16" s="41" customFormat="1" ht="60.75" customHeight="1">
      <c r="A13" s="139" t="s">
        <v>19</v>
      </c>
      <c r="B13" s="140" t="s">
        <v>20</v>
      </c>
      <c r="C13" s="197" t="s">
        <v>138</v>
      </c>
      <c r="D13" s="198" t="s">
        <v>23</v>
      </c>
      <c r="E13" s="197" t="s">
        <v>24</v>
      </c>
      <c r="F13" s="198" t="s">
        <v>25</v>
      </c>
      <c r="G13" s="197" t="s">
        <v>67</v>
      </c>
      <c r="H13" s="198" t="s">
        <v>28</v>
      </c>
      <c r="I13" s="142" t="s">
        <v>201</v>
      </c>
      <c r="J13" s="141" t="s">
        <v>30</v>
      </c>
      <c r="K13" s="142" t="s">
        <v>31</v>
      </c>
      <c r="L13" s="141" t="s">
        <v>32</v>
      </c>
      <c r="M13" s="143" t="s">
        <v>33</v>
      </c>
    </row>
    <row r="14" spans="1:16" s="44" customFormat="1" ht="30" customHeight="1">
      <c r="A14" s="144">
        <v>1</v>
      </c>
      <c r="B14" s="138" t="s">
        <v>139</v>
      </c>
      <c r="C14" s="145">
        <v>99</v>
      </c>
      <c r="D14" s="146">
        <v>99</v>
      </c>
      <c r="E14" s="146">
        <v>90</v>
      </c>
      <c r="F14" s="146">
        <v>92</v>
      </c>
      <c r="G14" s="146">
        <v>98</v>
      </c>
      <c r="H14" s="146">
        <v>70</v>
      </c>
      <c r="I14" s="146">
        <f t="shared" ref="I14:I45" si="0">IF($B14="","",IF(COUNT(C14:H14)=0,"",SUM(C14:H14)))</f>
        <v>548</v>
      </c>
      <c r="J14" s="147">
        <f t="shared" ref="J14:J45" si="1">IF($B14="","",IF(COUNT(C14:H14)=0,"",ROUND(SUM(C14:H14)/COLUMNS(C14:H14),2)))</f>
        <v>91.33</v>
      </c>
      <c r="K14" s="21">
        <f t="shared" ref="K14:K45" si="2">IF($B14="","",IF(COUNT(C14:H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)/COLUMNS(C14:H14),2)))</f>
        <v>4.83</v>
      </c>
      <c r="L14" s="22" t="str">
        <f t="shared" ref="L14:L45" si="3">IF($B14="","",IF(K14="","",IF(K14=0,"Fail",IF(K14=5,"A+",IF(K14&gt;=4,"A",IF(K14&gt;=3.5,"A-",IF(K14&gt;=3,"B",IF(K14&gt;=2,"C",IF(K14&gt;=1,"D","F")))))))))</f>
        <v>A</v>
      </c>
      <c r="M14" s="148">
        <f t="shared" ref="M14:M45" si="4">IF($B14="","",IF(J14="","",IF(1+SUMPRODUCT(($J$14:$J$63&lt;&gt;"")*($J$14:$J$63&gt;J14)/COUNTIF($J$14:$J$63,$J$14:$J$63))=1,"1g",IF(1+SUMPRODUCT(($J$14:$J$63&lt;&gt;"")*($J$14:$J$63&gt;J14)/COUNTIF($J$14:$J$63,$J$14:$J$63))=2,"2q",IF(1+SUMPRODUCT(($J$14:$J$63&lt;&gt;"")*($J$14:$J$63&gt;J14)/COUNTIF($J$14:$J$63,$J$14:$J$63))=3,"3q",1+SUMPRODUCT(($J$14:$J$63&lt;&gt;"")*($J$14:$J$63&gt;J14)/COUNTIF($J$14:$J$63,$J$14:$J$63)))))))</f>
        <v>7</v>
      </c>
      <c r="N14" s="101"/>
      <c r="O14" s="101"/>
      <c r="P14" s="101"/>
    </row>
    <row r="15" spans="1:16" s="44" customFormat="1" ht="30" customHeight="1">
      <c r="A15" s="144">
        <v>2</v>
      </c>
      <c r="B15" s="138" t="s">
        <v>191</v>
      </c>
      <c r="C15" s="145">
        <v>99</v>
      </c>
      <c r="D15" s="146">
        <v>100</v>
      </c>
      <c r="E15" s="146">
        <v>100</v>
      </c>
      <c r="F15" s="146">
        <v>100</v>
      </c>
      <c r="G15" s="146">
        <v>96</v>
      </c>
      <c r="H15" s="146">
        <v>100</v>
      </c>
      <c r="I15" s="146">
        <f t="shared" si="0"/>
        <v>595</v>
      </c>
      <c r="J15" s="147">
        <f t="shared" si="1"/>
        <v>99.17</v>
      </c>
      <c r="K15" s="21">
        <f t="shared" si="2"/>
        <v>5</v>
      </c>
      <c r="L15" s="22" t="str">
        <f t="shared" si="3"/>
        <v>A+</v>
      </c>
      <c r="M15" s="148" t="str">
        <f t="shared" si="4"/>
        <v>1g</v>
      </c>
      <c r="N15" s="101"/>
      <c r="O15" s="101"/>
      <c r="P15" s="101"/>
    </row>
    <row r="16" spans="1:16" s="44" customFormat="1" ht="30" customHeight="1">
      <c r="A16" s="144">
        <v>3</v>
      </c>
      <c r="B16" s="138" t="s">
        <v>192</v>
      </c>
      <c r="C16" s="145">
        <v>94</v>
      </c>
      <c r="D16" s="146">
        <v>90</v>
      </c>
      <c r="E16" s="146">
        <v>90</v>
      </c>
      <c r="F16" s="146">
        <v>93</v>
      </c>
      <c r="G16" s="146">
        <v>60</v>
      </c>
      <c r="H16" s="149">
        <v>45</v>
      </c>
      <c r="I16" s="146">
        <f t="shared" si="0"/>
        <v>472</v>
      </c>
      <c r="J16" s="147">
        <f t="shared" si="1"/>
        <v>78.67</v>
      </c>
      <c r="K16" s="21">
        <f t="shared" si="2"/>
        <v>4.25</v>
      </c>
      <c r="L16" s="22" t="str">
        <f t="shared" si="3"/>
        <v>A</v>
      </c>
      <c r="M16" s="148">
        <f t="shared" si="4"/>
        <v>11</v>
      </c>
      <c r="N16" s="101"/>
      <c r="O16" s="101"/>
      <c r="P16" s="101"/>
    </row>
    <row r="17" spans="1:16" s="44" customFormat="1" ht="30" customHeight="1">
      <c r="A17" s="144">
        <v>4</v>
      </c>
      <c r="B17" s="138" t="s">
        <v>193</v>
      </c>
      <c r="C17" s="145">
        <v>100</v>
      </c>
      <c r="D17" s="146">
        <v>98</v>
      </c>
      <c r="E17" s="146">
        <v>100</v>
      </c>
      <c r="F17" s="146">
        <v>100</v>
      </c>
      <c r="G17" s="146">
        <v>99</v>
      </c>
      <c r="H17" s="146">
        <v>96</v>
      </c>
      <c r="I17" s="146">
        <f t="shared" si="0"/>
        <v>593</v>
      </c>
      <c r="J17" s="147">
        <f t="shared" si="1"/>
        <v>98.83</v>
      </c>
      <c r="K17" s="21">
        <f t="shared" si="2"/>
        <v>5</v>
      </c>
      <c r="L17" s="22" t="str">
        <f t="shared" si="3"/>
        <v>A+</v>
      </c>
      <c r="M17" s="148" t="str">
        <f t="shared" si="4"/>
        <v>2q</v>
      </c>
      <c r="N17" s="101"/>
      <c r="O17" s="101"/>
      <c r="P17" s="101"/>
    </row>
    <row r="18" spans="1:16" s="44" customFormat="1" ht="30" customHeight="1">
      <c r="A18" s="144">
        <v>5</v>
      </c>
      <c r="B18" s="138" t="s">
        <v>194</v>
      </c>
      <c r="C18" s="145">
        <v>97</v>
      </c>
      <c r="D18" s="146">
        <v>98</v>
      </c>
      <c r="E18" s="146">
        <v>90</v>
      </c>
      <c r="F18" s="146">
        <v>100</v>
      </c>
      <c r="G18" s="146">
        <v>55</v>
      </c>
      <c r="H18" s="146">
        <v>65</v>
      </c>
      <c r="I18" s="146">
        <f t="shared" si="0"/>
        <v>505</v>
      </c>
      <c r="J18" s="147">
        <f t="shared" si="1"/>
        <v>84.17</v>
      </c>
      <c r="K18" s="21">
        <f t="shared" si="2"/>
        <v>4.42</v>
      </c>
      <c r="L18" s="22" t="str">
        <f t="shared" si="3"/>
        <v>A</v>
      </c>
      <c r="M18" s="148">
        <f t="shared" si="4"/>
        <v>8</v>
      </c>
      <c r="N18" s="101"/>
      <c r="O18" s="101"/>
      <c r="P18" s="101"/>
    </row>
    <row r="19" spans="1:16" s="44" customFormat="1" ht="30" customHeight="1">
      <c r="A19" s="144">
        <v>6</v>
      </c>
      <c r="B19" s="138" t="s">
        <v>140</v>
      </c>
      <c r="C19" s="145">
        <v>97</v>
      </c>
      <c r="D19" s="146">
        <v>90</v>
      </c>
      <c r="E19" s="146">
        <v>80</v>
      </c>
      <c r="F19" s="146">
        <v>80</v>
      </c>
      <c r="G19" s="146">
        <v>80</v>
      </c>
      <c r="H19" s="146">
        <v>50</v>
      </c>
      <c r="I19" s="146">
        <f t="shared" si="0"/>
        <v>477</v>
      </c>
      <c r="J19" s="147">
        <f t="shared" si="1"/>
        <v>79.5</v>
      </c>
      <c r="K19" s="21">
        <f t="shared" si="2"/>
        <v>4.67</v>
      </c>
      <c r="L19" s="22" t="str">
        <f t="shared" si="3"/>
        <v>A</v>
      </c>
      <c r="M19" s="148">
        <f t="shared" si="4"/>
        <v>10</v>
      </c>
      <c r="N19" s="101"/>
      <c r="O19" s="101"/>
      <c r="P19" s="101"/>
    </row>
    <row r="20" spans="1:16" s="44" customFormat="1" ht="30" customHeight="1">
      <c r="A20" s="144">
        <v>7</v>
      </c>
      <c r="B20" s="138" t="s">
        <v>195</v>
      </c>
      <c r="C20" s="145">
        <v>97</v>
      </c>
      <c r="D20" s="146">
        <v>100</v>
      </c>
      <c r="E20" s="146">
        <v>97</v>
      </c>
      <c r="F20" s="146">
        <v>98</v>
      </c>
      <c r="G20" s="146">
        <v>100</v>
      </c>
      <c r="H20" s="146">
        <v>98</v>
      </c>
      <c r="I20" s="146">
        <f t="shared" si="0"/>
        <v>590</v>
      </c>
      <c r="J20" s="147">
        <f t="shared" si="1"/>
        <v>98.33</v>
      </c>
      <c r="K20" s="21">
        <f t="shared" si="2"/>
        <v>5</v>
      </c>
      <c r="L20" s="22" t="str">
        <f t="shared" si="3"/>
        <v>A+</v>
      </c>
      <c r="M20" s="148" t="str">
        <f t="shared" si="4"/>
        <v>3q</v>
      </c>
      <c r="N20" s="101"/>
      <c r="O20" s="101"/>
      <c r="P20" s="101"/>
    </row>
    <row r="21" spans="1:16" s="44" customFormat="1" ht="30" customHeight="1">
      <c r="A21" s="144">
        <v>8</v>
      </c>
      <c r="B21" s="138" t="s">
        <v>141</v>
      </c>
      <c r="C21" s="145">
        <v>96</v>
      </c>
      <c r="D21" s="146">
        <v>95</v>
      </c>
      <c r="E21" s="146">
        <v>85</v>
      </c>
      <c r="F21" s="146">
        <v>85</v>
      </c>
      <c r="G21" s="146">
        <v>99</v>
      </c>
      <c r="H21" s="146">
        <v>98</v>
      </c>
      <c r="I21" s="146">
        <f t="shared" si="0"/>
        <v>558</v>
      </c>
      <c r="J21" s="147">
        <f t="shared" si="1"/>
        <v>93</v>
      </c>
      <c r="K21" s="21">
        <f t="shared" si="2"/>
        <v>5</v>
      </c>
      <c r="L21" s="22" t="str">
        <f t="shared" si="3"/>
        <v>A+</v>
      </c>
      <c r="M21" s="148">
        <f t="shared" si="4"/>
        <v>6</v>
      </c>
      <c r="N21" s="101"/>
      <c r="O21" s="101"/>
      <c r="P21" s="101"/>
    </row>
    <row r="22" spans="1:16" s="44" customFormat="1" ht="30" customHeight="1">
      <c r="A22" s="144">
        <v>9</v>
      </c>
      <c r="B22" s="138" t="s">
        <v>196</v>
      </c>
      <c r="C22" s="145">
        <v>97</v>
      </c>
      <c r="D22" s="146">
        <v>98</v>
      </c>
      <c r="E22" s="146">
        <v>100</v>
      </c>
      <c r="F22" s="146">
        <v>100</v>
      </c>
      <c r="G22" s="146">
        <v>97</v>
      </c>
      <c r="H22" s="146">
        <v>93</v>
      </c>
      <c r="I22" s="146">
        <f t="shared" si="0"/>
        <v>585</v>
      </c>
      <c r="J22" s="147">
        <f t="shared" si="1"/>
        <v>97.5</v>
      </c>
      <c r="K22" s="21">
        <f t="shared" si="2"/>
        <v>5</v>
      </c>
      <c r="L22" s="22" t="str">
        <f t="shared" si="3"/>
        <v>A+</v>
      </c>
      <c r="M22" s="148">
        <f t="shared" si="4"/>
        <v>4</v>
      </c>
      <c r="N22" s="101"/>
      <c r="O22" s="101"/>
      <c r="P22" s="101"/>
    </row>
    <row r="23" spans="1:16" s="44" customFormat="1" ht="30" customHeight="1">
      <c r="A23" s="144">
        <v>10</v>
      </c>
      <c r="B23" s="138" t="s">
        <v>142</v>
      </c>
      <c r="C23" s="145">
        <v>94</v>
      </c>
      <c r="D23" s="146">
        <v>85</v>
      </c>
      <c r="E23" s="146">
        <v>80</v>
      </c>
      <c r="F23" s="146">
        <v>70</v>
      </c>
      <c r="G23" s="146">
        <v>80</v>
      </c>
      <c r="H23" s="146">
        <v>80</v>
      </c>
      <c r="I23" s="146">
        <f t="shared" si="0"/>
        <v>489</v>
      </c>
      <c r="J23" s="147">
        <f t="shared" si="1"/>
        <v>81.5</v>
      </c>
      <c r="K23" s="21">
        <f t="shared" si="2"/>
        <v>4.83</v>
      </c>
      <c r="L23" s="22" t="str">
        <f t="shared" si="3"/>
        <v>A</v>
      </c>
      <c r="M23" s="148">
        <f t="shared" si="4"/>
        <v>9</v>
      </c>
      <c r="N23" s="101"/>
      <c r="O23" s="101"/>
      <c r="P23" s="101"/>
    </row>
    <row r="24" spans="1:16" s="44" customFormat="1" ht="30" customHeight="1">
      <c r="A24" s="144">
        <v>11</v>
      </c>
      <c r="B24" s="138" t="s">
        <v>143</v>
      </c>
      <c r="C24" s="145">
        <v>96</v>
      </c>
      <c r="D24" s="146">
        <v>95</v>
      </c>
      <c r="E24" s="146">
        <v>80</v>
      </c>
      <c r="F24" s="146">
        <v>90</v>
      </c>
      <c r="G24" s="146">
        <v>45</v>
      </c>
      <c r="H24" s="146">
        <v>40</v>
      </c>
      <c r="I24" s="146">
        <f t="shared" si="0"/>
        <v>446</v>
      </c>
      <c r="J24" s="147">
        <f t="shared" si="1"/>
        <v>74.33</v>
      </c>
      <c r="K24" s="21">
        <f t="shared" si="2"/>
        <v>4</v>
      </c>
      <c r="L24" s="22" t="str">
        <f t="shared" si="3"/>
        <v>A</v>
      </c>
      <c r="M24" s="148">
        <f t="shared" si="4"/>
        <v>12</v>
      </c>
      <c r="N24" s="101"/>
      <c r="O24" s="101"/>
      <c r="P24" s="101"/>
    </row>
    <row r="25" spans="1:16" s="44" customFormat="1" ht="30" customHeight="1">
      <c r="A25" s="144">
        <v>12</v>
      </c>
      <c r="B25" s="138" t="s">
        <v>197</v>
      </c>
      <c r="C25" s="145" t="s">
        <v>82</v>
      </c>
      <c r="D25" s="146" t="s">
        <v>82</v>
      </c>
      <c r="E25" s="146" t="s">
        <v>82</v>
      </c>
      <c r="F25" s="146" t="s">
        <v>82</v>
      </c>
      <c r="G25" s="146" t="s">
        <v>82</v>
      </c>
      <c r="H25" s="146" t="s">
        <v>82</v>
      </c>
      <c r="I25" s="146" t="str">
        <f t="shared" si="0"/>
        <v/>
      </c>
      <c r="J25" s="147" t="str">
        <f t="shared" si="1"/>
        <v/>
      </c>
      <c r="K25" s="21" t="str">
        <f t="shared" si="2"/>
        <v/>
      </c>
      <c r="L25" s="22" t="str">
        <f t="shared" si="3"/>
        <v/>
      </c>
      <c r="M25" s="148" t="str">
        <f t="shared" si="4"/>
        <v/>
      </c>
      <c r="N25" s="101"/>
      <c r="O25" s="101"/>
      <c r="P25" s="101"/>
    </row>
    <row r="26" spans="1:16" s="44" customFormat="1" ht="30" customHeight="1">
      <c r="A26" s="144">
        <v>13</v>
      </c>
      <c r="B26" s="138" t="s">
        <v>198</v>
      </c>
      <c r="C26" s="145" t="s">
        <v>82</v>
      </c>
      <c r="D26" s="146" t="s">
        <v>82</v>
      </c>
      <c r="E26" s="146" t="s">
        <v>82</v>
      </c>
      <c r="F26" s="146" t="s">
        <v>82</v>
      </c>
      <c r="G26" s="146" t="s">
        <v>82</v>
      </c>
      <c r="H26" s="146" t="s">
        <v>82</v>
      </c>
      <c r="I26" s="146" t="str">
        <f t="shared" si="0"/>
        <v/>
      </c>
      <c r="J26" s="147" t="str">
        <f t="shared" si="1"/>
        <v/>
      </c>
      <c r="K26" s="21" t="str">
        <f t="shared" si="2"/>
        <v/>
      </c>
      <c r="L26" s="22" t="str">
        <f t="shared" si="3"/>
        <v/>
      </c>
      <c r="M26" s="148" t="str">
        <f t="shared" si="4"/>
        <v/>
      </c>
      <c r="N26" s="101"/>
      <c r="O26" s="101"/>
      <c r="P26" s="101"/>
    </row>
    <row r="27" spans="1:16" s="44" customFormat="1" ht="30" customHeight="1">
      <c r="A27" s="204">
        <v>12</v>
      </c>
      <c r="B27" s="138" t="s">
        <v>199</v>
      </c>
      <c r="C27" s="146">
        <v>96</v>
      </c>
      <c r="D27" s="146">
        <v>95</v>
      </c>
      <c r="E27" s="146">
        <v>98</v>
      </c>
      <c r="F27" s="146">
        <v>98</v>
      </c>
      <c r="G27" s="146">
        <v>99</v>
      </c>
      <c r="H27" s="146">
        <v>96</v>
      </c>
      <c r="I27" s="146">
        <f t="shared" si="0"/>
        <v>582</v>
      </c>
      <c r="J27" s="147">
        <f t="shared" si="1"/>
        <v>97</v>
      </c>
      <c r="K27" s="21">
        <f t="shared" si="2"/>
        <v>5</v>
      </c>
      <c r="L27" s="22" t="str">
        <f t="shared" si="3"/>
        <v>A+</v>
      </c>
      <c r="M27" s="204">
        <f t="shared" si="4"/>
        <v>5</v>
      </c>
      <c r="N27" s="101"/>
      <c r="O27" s="101"/>
      <c r="P27" s="101"/>
    </row>
    <row r="28" spans="1:16" s="44" customFormat="1" ht="30" customHeight="1">
      <c r="A28" s="205">
        <v>15</v>
      </c>
      <c r="B28" s="138" t="s">
        <v>200</v>
      </c>
      <c r="C28" s="20"/>
      <c r="D28" s="20"/>
      <c r="E28" s="20"/>
      <c r="F28" s="20"/>
      <c r="G28" s="20"/>
      <c r="H28" s="20"/>
      <c r="I28" s="20" t="str">
        <f t="shared" si="0"/>
        <v/>
      </c>
      <c r="J28" s="20" t="str">
        <f t="shared" si="1"/>
        <v/>
      </c>
      <c r="K28" s="21" t="str">
        <f t="shared" si="2"/>
        <v/>
      </c>
      <c r="L28" s="22" t="str">
        <f t="shared" si="3"/>
        <v/>
      </c>
      <c r="M28" s="205" t="str">
        <f t="shared" si="4"/>
        <v/>
      </c>
      <c r="N28" s="101"/>
      <c r="O28" s="101"/>
      <c r="P28" s="101"/>
    </row>
    <row r="29" spans="1:16" s="44" customFormat="1" ht="30" customHeight="1">
      <c r="A29" s="46"/>
      <c r="B29" s="47"/>
      <c r="C29" s="48"/>
      <c r="D29" s="48"/>
      <c r="E29" s="48"/>
      <c r="F29" s="48"/>
      <c r="G29" s="48"/>
      <c r="H29" s="48"/>
      <c r="I29" s="48" t="str">
        <f t="shared" si="0"/>
        <v/>
      </c>
      <c r="J29" s="48" t="str">
        <f t="shared" si="1"/>
        <v/>
      </c>
      <c r="K29" s="102" t="str">
        <f t="shared" si="2"/>
        <v/>
      </c>
      <c r="L29" s="103" t="str">
        <f t="shared" si="3"/>
        <v/>
      </c>
      <c r="M29" s="46" t="str">
        <f t="shared" si="4"/>
        <v/>
      </c>
      <c r="N29" s="101"/>
      <c r="O29" s="101"/>
      <c r="P29" s="101"/>
    </row>
    <row r="30" spans="1:16" s="44" customFormat="1" ht="30" customHeight="1">
      <c r="A30" s="46"/>
      <c r="B30" s="47"/>
      <c r="C30" s="48"/>
      <c r="D30" s="48"/>
      <c r="E30" s="48"/>
      <c r="F30" s="48"/>
      <c r="G30" s="48"/>
      <c r="H30" s="48"/>
      <c r="I30" s="48" t="str">
        <f t="shared" si="0"/>
        <v/>
      </c>
      <c r="J30" s="48" t="str">
        <f t="shared" si="1"/>
        <v/>
      </c>
      <c r="K30" s="102" t="str">
        <f t="shared" si="2"/>
        <v/>
      </c>
      <c r="L30" s="103" t="str">
        <f t="shared" si="3"/>
        <v/>
      </c>
      <c r="M30" s="46" t="str">
        <f t="shared" si="4"/>
        <v/>
      </c>
      <c r="N30" s="101"/>
      <c r="O30" s="101"/>
      <c r="P30" s="101"/>
    </row>
    <row r="31" spans="1:16" s="44" customFormat="1" ht="30" customHeight="1">
      <c r="A31" s="46"/>
      <c r="B31" s="47"/>
      <c r="C31" s="48"/>
      <c r="D31" s="48"/>
      <c r="E31" s="48"/>
      <c r="F31" s="48"/>
      <c r="G31" s="48"/>
      <c r="H31" s="48"/>
      <c r="I31" s="48" t="str">
        <f t="shared" si="0"/>
        <v/>
      </c>
      <c r="J31" s="48" t="str">
        <f t="shared" si="1"/>
        <v/>
      </c>
      <c r="K31" s="102" t="str">
        <f t="shared" si="2"/>
        <v/>
      </c>
      <c r="L31" s="103" t="str">
        <f t="shared" si="3"/>
        <v/>
      </c>
      <c r="M31" s="46" t="str">
        <f t="shared" si="4"/>
        <v/>
      </c>
      <c r="N31" s="101"/>
      <c r="O31" s="101"/>
      <c r="P31" s="101"/>
    </row>
    <row r="32" spans="1:16" s="44" customFormat="1" ht="30" customHeight="1">
      <c r="A32" s="46"/>
      <c r="B32" s="47"/>
      <c r="C32" s="48"/>
      <c r="D32" s="48"/>
      <c r="E32" s="48"/>
      <c r="F32" s="48"/>
      <c r="G32" s="48"/>
      <c r="H32" s="48"/>
      <c r="I32" s="48" t="str">
        <f t="shared" si="0"/>
        <v/>
      </c>
      <c r="J32" s="48" t="str">
        <f t="shared" si="1"/>
        <v/>
      </c>
      <c r="K32" s="102" t="str">
        <f t="shared" si="2"/>
        <v/>
      </c>
      <c r="L32" s="103" t="str">
        <f t="shared" si="3"/>
        <v/>
      </c>
      <c r="M32" s="46" t="str">
        <f t="shared" si="4"/>
        <v/>
      </c>
      <c r="N32" s="101"/>
      <c r="O32" s="101"/>
      <c r="P32" s="101"/>
    </row>
    <row r="33" spans="1:16" s="44" customFormat="1" ht="30" customHeight="1">
      <c r="A33" s="46"/>
      <c r="B33" s="47"/>
      <c r="C33" s="48"/>
      <c r="D33" s="48"/>
      <c r="E33" s="48"/>
      <c r="F33" s="48"/>
      <c r="G33" s="48"/>
      <c r="H33" s="48"/>
      <c r="I33" s="48" t="str">
        <f t="shared" si="0"/>
        <v/>
      </c>
      <c r="J33" s="48" t="str">
        <f t="shared" si="1"/>
        <v/>
      </c>
      <c r="K33" s="102" t="str">
        <f t="shared" si="2"/>
        <v/>
      </c>
      <c r="L33" s="103" t="str">
        <f t="shared" si="3"/>
        <v/>
      </c>
      <c r="M33" s="46" t="str">
        <f t="shared" si="4"/>
        <v/>
      </c>
      <c r="N33" s="101"/>
      <c r="O33" s="101"/>
      <c r="P33" s="101"/>
    </row>
    <row r="34" spans="1:16" s="44" customFormat="1" ht="30" customHeight="1">
      <c r="A34" s="46"/>
      <c r="B34" s="47"/>
      <c r="C34" s="48"/>
      <c r="D34" s="48"/>
      <c r="E34" s="48"/>
      <c r="F34" s="48"/>
      <c r="G34" s="48"/>
      <c r="H34" s="48"/>
      <c r="I34" s="48" t="str">
        <f t="shared" si="0"/>
        <v/>
      </c>
      <c r="J34" s="48" t="str">
        <f t="shared" si="1"/>
        <v/>
      </c>
      <c r="K34" s="102" t="str">
        <f t="shared" si="2"/>
        <v/>
      </c>
      <c r="L34" s="103" t="str">
        <f t="shared" si="3"/>
        <v/>
      </c>
      <c r="M34" s="46" t="str">
        <f t="shared" si="4"/>
        <v/>
      </c>
      <c r="N34" s="101"/>
      <c r="O34" s="101"/>
      <c r="P34" s="101"/>
    </row>
    <row r="35" spans="1:16" s="44" customFormat="1" ht="30" customHeight="1">
      <c r="A35" s="46"/>
      <c r="B35" s="47"/>
      <c r="C35" s="48"/>
      <c r="D35" s="48"/>
      <c r="E35" s="48"/>
      <c r="F35" s="48"/>
      <c r="G35" s="48"/>
      <c r="H35" s="48"/>
      <c r="I35" s="48" t="str">
        <f t="shared" si="0"/>
        <v/>
      </c>
      <c r="J35" s="48" t="str">
        <f t="shared" si="1"/>
        <v/>
      </c>
      <c r="K35" s="102" t="str">
        <f t="shared" si="2"/>
        <v/>
      </c>
      <c r="L35" s="103" t="str">
        <f t="shared" si="3"/>
        <v/>
      </c>
      <c r="M35" s="46" t="str">
        <f t="shared" si="4"/>
        <v/>
      </c>
      <c r="N35" s="101"/>
      <c r="O35" s="101"/>
      <c r="P35" s="101"/>
    </row>
    <row r="36" spans="1:16" s="44" customFormat="1" ht="30" customHeight="1">
      <c r="A36" s="46"/>
      <c r="B36" s="47"/>
      <c r="C36" s="48"/>
      <c r="D36" s="48"/>
      <c r="E36" s="48"/>
      <c r="F36" s="48"/>
      <c r="G36" s="48"/>
      <c r="H36" s="48"/>
      <c r="I36" s="48" t="str">
        <f t="shared" si="0"/>
        <v/>
      </c>
      <c r="J36" s="48" t="str">
        <f t="shared" si="1"/>
        <v/>
      </c>
      <c r="K36" s="102" t="str">
        <f t="shared" si="2"/>
        <v/>
      </c>
      <c r="L36" s="103" t="str">
        <f t="shared" si="3"/>
        <v/>
      </c>
      <c r="M36" s="46" t="str">
        <f t="shared" si="4"/>
        <v/>
      </c>
      <c r="N36" s="101"/>
      <c r="O36" s="101"/>
      <c r="P36" s="101"/>
    </row>
    <row r="37" spans="1:16" s="44" customFormat="1" ht="21.75" customHeight="1">
      <c r="A37" s="104"/>
      <c r="B37" s="105"/>
      <c r="C37" s="106"/>
      <c r="D37" s="106"/>
      <c r="E37" s="106"/>
      <c r="F37" s="106"/>
      <c r="G37" s="106"/>
      <c r="H37" s="106"/>
      <c r="I37" s="106" t="str">
        <f t="shared" si="0"/>
        <v/>
      </c>
      <c r="J37" s="107" t="str">
        <f t="shared" si="1"/>
        <v/>
      </c>
      <c r="K37" s="107" t="str">
        <f t="shared" si="2"/>
        <v/>
      </c>
      <c r="L37" s="104" t="str">
        <f t="shared" si="3"/>
        <v/>
      </c>
      <c r="M37" s="108" t="str">
        <f t="shared" si="4"/>
        <v/>
      </c>
      <c r="N37" s="101"/>
      <c r="O37" s="101"/>
      <c r="P37" s="101"/>
    </row>
    <row r="38" spans="1:16" s="44" customFormat="1" ht="21.75" customHeight="1">
      <c r="A38" s="109"/>
      <c r="B38" s="110"/>
      <c r="C38" s="111"/>
      <c r="D38" s="111"/>
      <c r="E38" s="111"/>
      <c r="F38" s="111"/>
      <c r="G38" s="111"/>
      <c r="H38" s="111"/>
      <c r="I38" s="111" t="str">
        <f t="shared" si="0"/>
        <v/>
      </c>
      <c r="J38" s="112" t="str">
        <f t="shared" si="1"/>
        <v/>
      </c>
      <c r="K38" s="112" t="str">
        <f t="shared" si="2"/>
        <v/>
      </c>
      <c r="L38" s="109" t="str">
        <f t="shared" si="3"/>
        <v/>
      </c>
      <c r="M38" s="108" t="str">
        <f t="shared" si="4"/>
        <v/>
      </c>
      <c r="N38" s="101"/>
      <c r="O38" s="101"/>
      <c r="P38" s="101"/>
    </row>
    <row r="39" spans="1:16" s="44" customFormat="1" ht="21.75" customHeight="1">
      <c r="A39" s="109"/>
      <c r="B39" s="110"/>
      <c r="C39" s="111"/>
      <c r="D39" s="111"/>
      <c r="E39" s="111"/>
      <c r="F39" s="111"/>
      <c r="G39" s="111"/>
      <c r="H39" s="111"/>
      <c r="I39" s="111" t="str">
        <f t="shared" si="0"/>
        <v/>
      </c>
      <c r="J39" s="112" t="str">
        <f t="shared" si="1"/>
        <v/>
      </c>
      <c r="K39" s="112" t="str">
        <f t="shared" si="2"/>
        <v/>
      </c>
      <c r="L39" s="109" t="str">
        <f t="shared" si="3"/>
        <v/>
      </c>
      <c r="M39" s="108" t="str">
        <f t="shared" si="4"/>
        <v/>
      </c>
      <c r="N39" s="101"/>
      <c r="O39" s="101"/>
      <c r="P39" s="101"/>
    </row>
    <row r="40" spans="1:16" s="44" customFormat="1" ht="21.75" customHeight="1">
      <c r="A40" s="109"/>
      <c r="B40" s="110"/>
      <c r="C40" s="111"/>
      <c r="D40" s="111"/>
      <c r="E40" s="111"/>
      <c r="F40" s="111"/>
      <c r="G40" s="111"/>
      <c r="H40" s="111"/>
      <c r="I40" s="111" t="str">
        <f t="shared" si="0"/>
        <v/>
      </c>
      <c r="J40" s="112" t="str">
        <f t="shared" si="1"/>
        <v/>
      </c>
      <c r="K40" s="112" t="str">
        <f t="shared" si="2"/>
        <v/>
      </c>
      <c r="L40" s="109" t="str">
        <f t="shared" si="3"/>
        <v/>
      </c>
      <c r="M40" s="108" t="str">
        <f t="shared" si="4"/>
        <v/>
      </c>
      <c r="N40" s="101"/>
      <c r="O40" s="101"/>
      <c r="P40" s="101"/>
    </row>
    <row r="41" spans="1:16" s="44" customFormat="1" ht="21.75" customHeight="1">
      <c r="A41" s="109"/>
      <c r="B41" s="110"/>
      <c r="C41" s="111"/>
      <c r="D41" s="111"/>
      <c r="E41" s="111"/>
      <c r="F41" s="111"/>
      <c r="G41" s="111"/>
      <c r="H41" s="111"/>
      <c r="I41" s="111" t="str">
        <f t="shared" si="0"/>
        <v/>
      </c>
      <c r="J41" s="112" t="str">
        <f t="shared" si="1"/>
        <v/>
      </c>
      <c r="K41" s="112" t="str">
        <f t="shared" si="2"/>
        <v/>
      </c>
      <c r="L41" s="109" t="str">
        <f t="shared" si="3"/>
        <v/>
      </c>
      <c r="M41" s="108" t="str">
        <f t="shared" si="4"/>
        <v/>
      </c>
      <c r="N41" s="101"/>
      <c r="O41" s="101"/>
      <c r="P41" s="101"/>
    </row>
    <row r="42" spans="1:16" s="44" customFormat="1" ht="21.75" customHeight="1">
      <c r="A42" s="109"/>
      <c r="B42" s="110"/>
      <c r="C42" s="111"/>
      <c r="D42" s="111"/>
      <c r="E42" s="111"/>
      <c r="F42" s="111"/>
      <c r="G42" s="111"/>
      <c r="H42" s="111"/>
      <c r="I42" s="111" t="str">
        <f t="shared" si="0"/>
        <v/>
      </c>
      <c r="J42" s="112" t="str">
        <f t="shared" si="1"/>
        <v/>
      </c>
      <c r="K42" s="112" t="str">
        <f t="shared" si="2"/>
        <v/>
      </c>
      <c r="L42" s="109" t="str">
        <f t="shared" si="3"/>
        <v/>
      </c>
      <c r="M42" s="108" t="str">
        <f t="shared" si="4"/>
        <v/>
      </c>
      <c r="N42" s="101"/>
      <c r="O42" s="101"/>
      <c r="P42" s="101"/>
    </row>
    <row r="43" spans="1:16" s="44" customFormat="1" ht="21.75" customHeight="1">
      <c r="A43" s="109"/>
      <c r="B43" s="110"/>
      <c r="C43" s="111"/>
      <c r="D43" s="111"/>
      <c r="E43" s="111"/>
      <c r="F43" s="111"/>
      <c r="G43" s="111"/>
      <c r="H43" s="111"/>
      <c r="I43" s="111" t="str">
        <f t="shared" si="0"/>
        <v/>
      </c>
      <c r="J43" s="112" t="str">
        <f t="shared" si="1"/>
        <v/>
      </c>
      <c r="K43" s="112" t="str">
        <f t="shared" si="2"/>
        <v/>
      </c>
      <c r="L43" s="109" t="str">
        <f t="shared" si="3"/>
        <v/>
      </c>
      <c r="M43" s="108" t="str">
        <f t="shared" si="4"/>
        <v/>
      </c>
      <c r="N43" s="101"/>
      <c r="O43" s="101"/>
      <c r="P43" s="101"/>
    </row>
    <row r="44" spans="1:16" s="44" customFormat="1" ht="21.75" customHeight="1">
      <c r="A44" s="109"/>
      <c r="B44" s="110"/>
      <c r="C44" s="111"/>
      <c r="D44" s="111"/>
      <c r="E44" s="111"/>
      <c r="F44" s="111"/>
      <c r="G44" s="111"/>
      <c r="H44" s="111"/>
      <c r="I44" s="111" t="str">
        <f t="shared" si="0"/>
        <v/>
      </c>
      <c r="J44" s="112" t="str">
        <f t="shared" si="1"/>
        <v/>
      </c>
      <c r="K44" s="112" t="str">
        <f t="shared" si="2"/>
        <v/>
      </c>
      <c r="L44" s="109" t="str">
        <f t="shared" si="3"/>
        <v/>
      </c>
      <c r="M44" s="108" t="str">
        <f t="shared" si="4"/>
        <v/>
      </c>
      <c r="N44" s="101"/>
      <c r="O44" s="101"/>
      <c r="P44" s="101"/>
    </row>
    <row r="45" spans="1:16" s="44" customFormat="1" ht="21.75" customHeight="1">
      <c r="A45" s="109"/>
      <c r="B45" s="110"/>
      <c r="C45" s="111"/>
      <c r="D45" s="111"/>
      <c r="E45" s="111"/>
      <c r="F45" s="111"/>
      <c r="G45" s="111"/>
      <c r="H45" s="111"/>
      <c r="I45" s="111" t="str">
        <f t="shared" si="0"/>
        <v/>
      </c>
      <c r="J45" s="112" t="str">
        <f t="shared" si="1"/>
        <v/>
      </c>
      <c r="K45" s="112" t="str">
        <f t="shared" si="2"/>
        <v/>
      </c>
      <c r="L45" s="109" t="str">
        <f t="shared" si="3"/>
        <v/>
      </c>
      <c r="M45" s="108" t="str">
        <f t="shared" si="4"/>
        <v/>
      </c>
      <c r="N45" s="101"/>
      <c r="O45" s="101"/>
      <c r="P45" s="101"/>
    </row>
    <row r="46" spans="1:16" s="44" customFormat="1" ht="21.75" customHeight="1">
      <c r="A46" s="109">
        <v>34</v>
      </c>
      <c r="B46" s="110"/>
      <c r="C46" s="111"/>
      <c r="D46" s="111"/>
      <c r="E46" s="111"/>
      <c r="F46" s="111"/>
      <c r="G46" s="111"/>
      <c r="H46" s="111"/>
      <c r="I46" s="111" t="str">
        <f t="shared" ref="I46:I63" si="5">IF($B46="","",IF(COUNT(C46:H46)=0,"",SUM(C46:H46)))</f>
        <v/>
      </c>
      <c r="J46" s="112" t="str">
        <f t="shared" ref="J46:J63" si="6">IF($B46="","",IF(COUNT(C46:H46)=0,"",ROUND(SUM(C46:H46)/COLUMNS(C46:H46),2)))</f>
        <v/>
      </c>
      <c r="K46" s="112" t="str">
        <f t="shared" ref="K46:K63" si="7">IF($B46="","",IF(COUNT(C46:H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)/COLUMNS(C46:H46),2)))</f>
        <v/>
      </c>
      <c r="L46" s="109" t="str">
        <f t="shared" ref="L46:L63" si="8">IF($B46="","",IF(K46="","",IF(K46=0,"Fail",IF(K46=5,"A+",IF(K46&gt;=4,"A",IF(K46&gt;=3.5,"A-",IF(K46&gt;=3,"B",IF(K46&gt;=2,"C",IF(K46&gt;=1,"D","F")))))))))</f>
        <v/>
      </c>
      <c r="M46" s="108" t="str">
        <f t="shared" ref="M46:M63" si="9">IF($B46="","",IF(J46="","",IF(1+SUMPRODUCT(($J$14:$J$63&lt;&gt;"")*($J$14:$J$63&gt;J46)/COUNTIF($J$14:$J$63,$J$14:$J$63))=1,"1g",IF(1+SUMPRODUCT(($J$14:$J$63&lt;&gt;"")*($J$14:$J$63&gt;J46)/COUNTIF($J$14:$J$63,$J$14:$J$63))=2,"2q",IF(1+SUMPRODUCT(($J$14:$J$63&lt;&gt;"")*($J$14:$J$63&gt;J46)/COUNTIF($J$14:$J$63,$J$14:$J$63))=3,"3q",1+SUMPRODUCT(($J$14:$J$63&lt;&gt;"")*($J$14:$J$63&gt;J46)/COUNTIF($J$14:$J$63,$J$14:$J$63)))))))</f>
        <v/>
      </c>
      <c r="N46" s="101"/>
      <c r="O46" s="101"/>
      <c r="P46" s="101"/>
    </row>
    <row r="47" spans="1:16" s="44" customFormat="1" ht="21.75" customHeight="1">
      <c r="A47" s="109">
        <v>35</v>
      </c>
      <c r="B47" s="110"/>
      <c r="C47" s="111"/>
      <c r="D47" s="111"/>
      <c r="E47" s="111"/>
      <c r="F47" s="111"/>
      <c r="G47" s="111"/>
      <c r="H47" s="111"/>
      <c r="I47" s="111" t="str">
        <f t="shared" si="5"/>
        <v/>
      </c>
      <c r="J47" s="112" t="str">
        <f t="shared" si="6"/>
        <v/>
      </c>
      <c r="K47" s="112" t="str">
        <f t="shared" si="7"/>
        <v/>
      </c>
      <c r="L47" s="109" t="str">
        <f t="shared" si="8"/>
        <v/>
      </c>
      <c r="M47" s="108" t="str">
        <f t="shared" si="9"/>
        <v/>
      </c>
      <c r="N47" s="101"/>
      <c r="O47" s="101"/>
      <c r="P47" s="101"/>
    </row>
    <row r="48" spans="1:16" s="44" customFormat="1" ht="21.75" customHeight="1">
      <c r="A48" s="109">
        <v>36</v>
      </c>
      <c r="B48" s="110"/>
      <c r="C48" s="111"/>
      <c r="D48" s="111"/>
      <c r="E48" s="111"/>
      <c r="F48" s="111"/>
      <c r="G48" s="111"/>
      <c r="H48" s="111"/>
      <c r="I48" s="111" t="str">
        <f t="shared" si="5"/>
        <v/>
      </c>
      <c r="J48" s="112" t="str">
        <f t="shared" si="6"/>
        <v/>
      </c>
      <c r="K48" s="112" t="str">
        <f t="shared" si="7"/>
        <v/>
      </c>
      <c r="L48" s="109" t="str">
        <f t="shared" si="8"/>
        <v/>
      </c>
      <c r="M48" s="108" t="str">
        <f t="shared" si="9"/>
        <v/>
      </c>
      <c r="N48" s="101"/>
      <c r="O48" s="101"/>
      <c r="P48" s="101"/>
    </row>
    <row r="49" spans="1:16" s="44" customFormat="1" ht="21.75" customHeight="1">
      <c r="A49" s="109">
        <v>37</v>
      </c>
      <c r="B49" s="110"/>
      <c r="C49" s="111"/>
      <c r="D49" s="111"/>
      <c r="E49" s="111"/>
      <c r="F49" s="111"/>
      <c r="G49" s="111"/>
      <c r="H49" s="111"/>
      <c r="I49" s="111" t="str">
        <f t="shared" si="5"/>
        <v/>
      </c>
      <c r="J49" s="112" t="str">
        <f t="shared" si="6"/>
        <v/>
      </c>
      <c r="K49" s="112" t="str">
        <f t="shared" si="7"/>
        <v/>
      </c>
      <c r="L49" s="109" t="str">
        <f t="shared" si="8"/>
        <v/>
      </c>
      <c r="M49" s="108" t="str">
        <f t="shared" si="9"/>
        <v/>
      </c>
      <c r="N49" s="101"/>
      <c r="O49" s="101"/>
      <c r="P49" s="101"/>
    </row>
    <row r="50" spans="1:16" s="44" customFormat="1" ht="21.75" customHeight="1">
      <c r="A50" s="109">
        <v>38</v>
      </c>
      <c r="B50" s="110"/>
      <c r="C50" s="111"/>
      <c r="D50" s="111"/>
      <c r="E50" s="111"/>
      <c r="F50" s="111"/>
      <c r="G50" s="111"/>
      <c r="H50" s="111"/>
      <c r="I50" s="111" t="str">
        <f t="shared" si="5"/>
        <v/>
      </c>
      <c r="J50" s="112" t="str">
        <f t="shared" si="6"/>
        <v/>
      </c>
      <c r="K50" s="112" t="str">
        <f t="shared" si="7"/>
        <v/>
      </c>
      <c r="L50" s="109" t="str">
        <f t="shared" si="8"/>
        <v/>
      </c>
      <c r="M50" s="108" t="str">
        <f t="shared" si="9"/>
        <v/>
      </c>
      <c r="N50" s="101"/>
      <c r="O50" s="101"/>
      <c r="P50" s="101"/>
    </row>
    <row r="51" spans="1:16" s="44" customFormat="1" ht="21.75" customHeight="1">
      <c r="A51" s="109">
        <v>39</v>
      </c>
      <c r="B51" s="110"/>
      <c r="C51" s="111"/>
      <c r="D51" s="111"/>
      <c r="E51" s="111"/>
      <c r="F51" s="111"/>
      <c r="G51" s="111"/>
      <c r="H51" s="111"/>
      <c r="I51" s="111" t="str">
        <f t="shared" si="5"/>
        <v/>
      </c>
      <c r="J51" s="112" t="str">
        <f t="shared" si="6"/>
        <v/>
      </c>
      <c r="K51" s="112" t="str">
        <f t="shared" si="7"/>
        <v/>
      </c>
      <c r="L51" s="109" t="str">
        <f t="shared" si="8"/>
        <v/>
      </c>
      <c r="M51" s="108" t="str">
        <f t="shared" si="9"/>
        <v/>
      </c>
      <c r="N51" s="101"/>
      <c r="O51" s="101"/>
      <c r="P51" s="101"/>
    </row>
    <row r="52" spans="1:16" s="44" customFormat="1" ht="21.75" customHeight="1">
      <c r="A52" s="109">
        <v>40</v>
      </c>
      <c r="B52" s="110"/>
      <c r="C52" s="111"/>
      <c r="D52" s="111"/>
      <c r="E52" s="111"/>
      <c r="F52" s="111"/>
      <c r="G52" s="111"/>
      <c r="H52" s="111"/>
      <c r="I52" s="111" t="str">
        <f t="shared" si="5"/>
        <v/>
      </c>
      <c r="J52" s="112" t="str">
        <f t="shared" si="6"/>
        <v/>
      </c>
      <c r="K52" s="112" t="str">
        <f t="shared" si="7"/>
        <v/>
      </c>
      <c r="L52" s="109" t="str">
        <f t="shared" si="8"/>
        <v/>
      </c>
      <c r="M52" s="108" t="str">
        <f t="shared" si="9"/>
        <v/>
      </c>
      <c r="N52" s="101"/>
      <c r="O52" s="101"/>
      <c r="P52" s="101"/>
    </row>
    <row r="53" spans="1:16" s="44" customFormat="1" ht="21.75" customHeight="1">
      <c r="A53" s="109">
        <v>41</v>
      </c>
      <c r="B53" s="110"/>
      <c r="C53" s="111"/>
      <c r="D53" s="111"/>
      <c r="E53" s="111"/>
      <c r="F53" s="111"/>
      <c r="G53" s="111"/>
      <c r="H53" s="111"/>
      <c r="I53" s="111" t="str">
        <f t="shared" si="5"/>
        <v/>
      </c>
      <c r="J53" s="112" t="str">
        <f t="shared" si="6"/>
        <v/>
      </c>
      <c r="K53" s="112" t="str">
        <f t="shared" si="7"/>
        <v/>
      </c>
      <c r="L53" s="109" t="str">
        <f t="shared" si="8"/>
        <v/>
      </c>
      <c r="M53" s="108" t="str">
        <f t="shared" si="9"/>
        <v/>
      </c>
      <c r="N53" s="101"/>
      <c r="O53" s="101"/>
      <c r="P53" s="101"/>
    </row>
    <row r="54" spans="1:16" s="44" customFormat="1" ht="21.75" customHeight="1">
      <c r="A54" s="109">
        <v>42</v>
      </c>
      <c r="B54" s="110"/>
      <c r="C54" s="111"/>
      <c r="D54" s="111"/>
      <c r="E54" s="111"/>
      <c r="F54" s="111"/>
      <c r="G54" s="111"/>
      <c r="H54" s="111"/>
      <c r="I54" s="111" t="str">
        <f t="shared" si="5"/>
        <v/>
      </c>
      <c r="J54" s="112" t="str">
        <f t="shared" si="6"/>
        <v/>
      </c>
      <c r="K54" s="112" t="str">
        <f t="shared" si="7"/>
        <v/>
      </c>
      <c r="L54" s="109" t="str">
        <f t="shared" si="8"/>
        <v/>
      </c>
      <c r="M54" s="108" t="str">
        <f t="shared" si="9"/>
        <v/>
      </c>
      <c r="N54" s="101"/>
      <c r="O54" s="101"/>
      <c r="P54" s="101"/>
    </row>
    <row r="55" spans="1:16" s="44" customFormat="1" ht="21.75" customHeight="1">
      <c r="A55" s="109">
        <v>43</v>
      </c>
      <c r="B55" s="110"/>
      <c r="C55" s="111"/>
      <c r="D55" s="111"/>
      <c r="E55" s="111"/>
      <c r="F55" s="111"/>
      <c r="G55" s="111"/>
      <c r="H55" s="111"/>
      <c r="I55" s="111" t="str">
        <f t="shared" si="5"/>
        <v/>
      </c>
      <c r="J55" s="112" t="str">
        <f t="shared" si="6"/>
        <v/>
      </c>
      <c r="K55" s="112" t="str">
        <f t="shared" si="7"/>
        <v/>
      </c>
      <c r="L55" s="109" t="str">
        <f t="shared" si="8"/>
        <v/>
      </c>
      <c r="M55" s="108" t="str">
        <f t="shared" si="9"/>
        <v/>
      </c>
      <c r="N55" s="101"/>
      <c r="O55" s="101"/>
      <c r="P55" s="101"/>
    </row>
    <row r="56" spans="1:16" s="44" customFormat="1" ht="21.75" customHeight="1">
      <c r="A56" s="109">
        <v>44</v>
      </c>
      <c r="B56" s="110"/>
      <c r="C56" s="111"/>
      <c r="D56" s="111"/>
      <c r="E56" s="111"/>
      <c r="F56" s="111"/>
      <c r="G56" s="111"/>
      <c r="H56" s="111"/>
      <c r="I56" s="111" t="str">
        <f t="shared" si="5"/>
        <v/>
      </c>
      <c r="J56" s="112" t="str">
        <f t="shared" si="6"/>
        <v/>
      </c>
      <c r="K56" s="112" t="str">
        <f t="shared" si="7"/>
        <v/>
      </c>
      <c r="L56" s="109" t="str">
        <f t="shared" si="8"/>
        <v/>
      </c>
      <c r="M56" s="108" t="str">
        <f t="shared" si="9"/>
        <v/>
      </c>
      <c r="N56" s="101"/>
      <c r="O56" s="101"/>
      <c r="P56" s="101"/>
    </row>
    <row r="57" spans="1:16" s="44" customFormat="1" ht="21.75" customHeight="1">
      <c r="A57" s="109">
        <v>45</v>
      </c>
      <c r="B57" s="110"/>
      <c r="C57" s="111"/>
      <c r="D57" s="111"/>
      <c r="E57" s="111"/>
      <c r="F57" s="111"/>
      <c r="G57" s="111"/>
      <c r="H57" s="111"/>
      <c r="I57" s="111" t="str">
        <f t="shared" si="5"/>
        <v/>
      </c>
      <c r="J57" s="112" t="str">
        <f t="shared" si="6"/>
        <v/>
      </c>
      <c r="K57" s="112" t="str">
        <f t="shared" si="7"/>
        <v/>
      </c>
      <c r="L57" s="109" t="str">
        <f t="shared" si="8"/>
        <v/>
      </c>
      <c r="M57" s="108" t="str">
        <f t="shared" si="9"/>
        <v/>
      </c>
      <c r="N57" s="101"/>
      <c r="O57" s="101"/>
      <c r="P57" s="101"/>
    </row>
    <row r="58" spans="1:16" s="44" customFormat="1" ht="21.75" customHeight="1">
      <c r="A58" s="109">
        <v>46</v>
      </c>
      <c r="B58" s="110"/>
      <c r="C58" s="111"/>
      <c r="D58" s="111"/>
      <c r="E58" s="111"/>
      <c r="F58" s="111"/>
      <c r="G58" s="111"/>
      <c r="H58" s="111"/>
      <c r="I58" s="111" t="str">
        <f t="shared" si="5"/>
        <v/>
      </c>
      <c r="J58" s="112" t="str">
        <f t="shared" si="6"/>
        <v/>
      </c>
      <c r="K58" s="112" t="str">
        <f t="shared" si="7"/>
        <v/>
      </c>
      <c r="L58" s="109" t="str">
        <f t="shared" si="8"/>
        <v/>
      </c>
      <c r="M58" s="108" t="str">
        <f t="shared" si="9"/>
        <v/>
      </c>
      <c r="N58" s="101"/>
      <c r="O58" s="101"/>
      <c r="P58" s="101"/>
    </row>
    <row r="59" spans="1:16" s="44" customFormat="1" ht="21.75" customHeight="1">
      <c r="A59" s="33"/>
      <c r="B59" s="202"/>
      <c r="C59" s="37"/>
      <c r="D59" s="111"/>
      <c r="E59" s="111"/>
      <c r="F59" s="111"/>
      <c r="G59" s="111"/>
      <c r="H59" s="111"/>
      <c r="I59" s="111" t="str">
        <f t="shared" si="5"/>
        <v/>
      </c>
      <c r="J59" s="112" t="str">
        <f t="shared" si="6"/>
        <v/>
      </c>
      <c r="K59" s="112" t="str">
        <f t="shared" si="7"/>
        <v/>
      </c>
      <c r="L59" s="109" t="str">
        <f t="shared" si="8"/>
        <v/>
      </c>
      <c r="M59" s="108" t="str">
        <f t="shared" si="9"/>
        <v/>
      </c>
      <c r="N59" s="101"/>
      <c r="O59" s="101"/>
      <c r="P59" s="101"/>
    </row>
    <row r="60" spans="1:16" s="44" customFormat="1" ht="21.75" customHeight="1">
      <c r="A60" s="33"/>
      <c r="B60" s="203"/>
      <c r="C60" s="37"/>
      <c r="D60" s="111"/>
      <c r="E60" s="111"/>
      <c r="F60" s="111"/>
      <c r="G60" s="111"/>
      <c r="H60" s="111"/>
      <c r="I60" s="111" t="str">
        <f t="shared" si="5"/>
        <v/>
      </c>
      <c r="J60" s="112" t="str">
        <f t="shared" si="6"/>
        <v/>
      </c>
      <c r="K60" s="112" t="str">
        <f t="shared" si="7"/>
        <v/>
      </c>
      <c r="L60" s="109" t="str">
        <f t="shared" si="8"/>
        <v/>
      </c>
      <c r="M60" s="108" t="str">
        <f t="shared" si="9"/>
        <v/>
      </c>
      <c r="N60" s="101"/>
      <c r="O60" s="101"/>
      <c r="P60" s="101"/>
    </row>
    <row r="61" spans="1:16" s="44" customFormat="1" ht="21.75" customHeight="1">
      <c r="A61" s="33"/>
      <c r="B61" s="203"/>
      <c r="C61" s="37"/>
      <c r="D61" s="111"/>
      <c r="E61" s="111"/>
      <c r="F61" s="111"/>
      <c r="G61" s="111"/>
      <c r="H61" s="111"/>
      <c r="I61" s="111" t="str">
        <f t="shared" si="5"/>
        <v/>
      </c>
      <c r="J61" s="112" t="str">
        <f t="shared" si="6"/>
        <v/>
      </c>
      <c r="K61" s="112" t="str">
        <f t="shared" si="7"/>
        <v/>
      </c>
      <c r="L61" s="109" t="str">
        <f t="shared" si="8"/>
        <v/>
      </c>
      <c r="M61" s="108" t="str">
        <f t="shared" si="9"/>
        <v/>
      </c>
      <c r="N61" s="101"/>
      <c r="O61" s="101"/>
      <c r="P61" s="101"/>
    </row>
    <row r="62" spans="1:16" s="44" customFormat="1" ht="21.75" customHeight="1">
      <c r="A62" s="33"/>
      <c r="B62" s="203"/>
      <c r="C62" s="37"/>
      <c r="D62" s="111"/>
      <c r="E62" s="111"/>
      <c r="F62" s="111"/>
      <c r="G62" s="111"/>
      <c r="H62" s="111"/>
      <c r="I62" s="111" t="str">
        <f t="shared" si="5"/>
        <v/>
      </c>
      <c r="J62" s="112" t="str">
        <f t="shared" si="6"/>
        <v/>
      </c>
      <c r="K62" s="112" t="str">
        <f t="shared" si="7"/>
        <v/>
      </c>
      <c r="L62" s="109" t="str">
        <f t="shared" si="8"/>
        <v/>
      </c>
      <c r="M62" s="108" t="str">
        <f t="shared" si="9"/>
        <v/>
      </c>
      <c r="N62" s="101"/>
      <c r="O62" s="101"/>
      <c r="P62" s="101"/>
    </row>
    <row r="63" spans="1:16" s="44" customFormat="1" ht="21.75" customHeight="1">
      <c r="A63" s="33"/>
      <c r="B63" s="203"/>
      <c r="C63" s="37"/>
      <c r="D63" s="111"/>
      <c r="E63" s="111"/>
      <c r="F63" s="111"/>
      <c r="G63" s="111"/>
      <c r="H63" s="111"/>
      <c r="I63" s="111" t="str">
        <f t="shared" si="5"/>
        <v/>
      </c>
      <c r="J63" s="112" t="str">
        <f t="shared" si="6"/>
        <v/>
      </c>
      <c r="K63" s="112" t="str">
        <f t="shared" si="7"/>
        <v/>
      </c>
      <c r="L63" s="109" t="str">
        <f t="shared" si="8"/>
        <v/>
      </c>
      <c r="M63" s="108" t="str">
        <f t="shared" si="9"/>
        <v/>
      </c>
      <c r="N63" s="101"/>
      <c r="O63" s="101"/>
      <c r="P63" s="101"/>
    </row>
    <row r="64" spans="1:16" s="44" customFormat="1" ht="21.75" customHeight="1">
      <c r="A64" s="33"/>
      <c r="B64" s="203"/>
      <c r="C64" s="37"/>
      <c r="D64" s="111"/>
      <c r="E64" s="111"/>
      <c r="F64" s="111"/>
      <c r="G64" s="111"/>
      <c r="H64" s="111"/>
      <c r="I64" s="111"/>
      <c r="J64" s="112"/>
      <c r="K64" s="112"/>
      <c r="L64" s="109"/>
      <c r="M64" s="108"/>
      <c r="N64" s="101"/>
      <c r="O64" s="101"/>
      <c r="P64" s="101"/>
    </row>
    <row r="65" spans="1:16" s="44" customFormat="1" ht="21.75" customHeight="1">
      <c r="A65" s="33"/>
      <c r="B65" s="203"/>
      <c r="C65" s="37"/>
      <c r="D65" s="111"/>
      <c r="E65" s="111"/>
      <c r="F65" s="111"/>
      <c r="G65" s="111"/>
      <c r="H65" s="111"/>
      <c r="I65" s="111"/>
      <c r="J65" s="112"/>
      <c r="K65" s="112"/>
      <c r="L65" s="109"/>
      <c r="M65" s="108"/>
      <c r="N65" s="101"/>
      <c r="O65" s="101"/>
      <c r="P65" s="101"/>
    </row>
    <row r="66" spans="1:16" s="44" customFormat="1" ht="21.75" customHeight="1">
      <c r="A66" s="33"/>
      <c r="B66" s="203"/>
      <c r="C66" s="37"/>
      <c r="D66" s="111"/>
      <c r="E66" s="111"/>
      <c r="F66" s="111"/>
      <c r="G66" s="111"/>
      <c r="H66" s="111"/>
      <c r="I66" s="111"/>
      <c r="J66" s="112"/>
      <c r="K66" s="112"/>
      <c r="L66" s="109"/>
      <c r="M66" s="108"/>
      <c r="N66" s="101"/>
      <c r="O66" s="101"/>
      <c r="P66" s="101"/>
    </row>
    <row r="67" spans="1:16" s="44" customFormat="1" ht="21.75" customHeight="1">
      <c r="A67" s="33"/>
      <c r="B67" s="203"/>
      <c r="C67" s="37"/>
      <c r="D67" s="111"/>
      <c r="E67" s="111"/>
      <c r="F67" s="111"/>
      <c r="G67" s="111"/>
      <c r="H67" s="111"/>
      <c r="I67" s="111"/>
      <c r="J67" s="112"/>
      <c r="K67" s="112"/>
      <c r="L67" s="109"/>
      <c r="M67" s="108"/>
      <c r="N67" s="101"/>
      <c r="O67" s="101"/>
      <c r="P67" s="101"/>
    </row>
    <row r="68" spans="1:16" s="44" customFormat="1" ht="21.75" customHeight="1">
      <c r="A68" s="33"/>
      <c r="B68" s="203"/>
      <c r="C68" s="37"/>
      <c r="D68" s="111"/>
      <c r="E68" s="111"/>
      <c r="F68" s="111"/>
      <c r="G68" s="111"/>
      <c r="H68" s="111"/>
      <c r="I68" s="111"/>
      <c r="J68" s="112"/>
      <c r="K68" s="112"/>
      <c r="L68" s="109"/>
      <c r="M68" s="108"/>
      <c r="N68" s="101"/>
      <c r="O68" s="101"/>
      <c r="P68" s="101"/>
    </row>
    <row r="69" spans="1:16" s="44" customFormat="1" ht="21.75" customHeight="1">
      <c r="A69" s="33"/>
      <c r="B69" s="203"/>
      <c r="C69" s="37"/>
      <c r="D69" s="111"/>
      <c r="E69" s="111"/>
      <c r="F69" s="111"/>
      <c r="G69" s="111"/>
      <c r="H69" s="111"/>
      <c r="I69" s="111"/>
      <c r="J69" s="112"/>
      <c r="K69" s="112"/>
      <c r="L69" s="109"/>
      <c r="M69" s="108"/>
      <c r="N69" s="101"/>
      <c r="O69" s="101"/>
      <c r="P69" s="101"/>
    </row>
    <row r="70" spans="1:16" s="44" customFormat="1" ht="21.75" customHeight="1">
      <c r="A70" s="33"/>
      <c r="B70" s="203"/>
      <c r="C70" s="37"/>
      <c r="D70" s="111"/>
      <c r="E70" s="111"/>
      <c r="F70" s="111"/>
      <c r="G70" s="111"/>
      <c r="H70" s="111"/>
      <c r="I70" s="111"/>
      <c r="J70" s="112"/>
      <c r="K70" s="112"/>
      <c r="L70" s="109"/>
      <c r="M70" s="108"/>
      <c r="N70" s="101"/>
      <c r="O70" s="101"/>
      <c r="P70" s="101"/>
    </row>
    <row r="71" spans="1:16" s="44" customFormat="1" ht="21.75" customHeight="1">
      <c r="A71" s="33"/>
      <c r="B71" s="203"/>
      <c r="C71" s="37"/>
      <c r="D71" s="111"/>
      <c r="E71" s="111"/>
      <c r="F71" s="111"/>
      <c r="G71" s="111"/>
      <c r="H71" s="111"/>
      <c r="I71" s="111"/>
      <c r="J71" s="112"/>
      <c r="K71" s="112"/>
      <c r="L71" s="109"/>
      <c r="M71" s="108"/>
      <c r="N71" s="101"/>
      <c r="O71" s="101"/>
      <c r="P71" s="101"/>
    </row>
    <row r="72" spans="1:16" s="44" customFormat="1" ht="21.75" customHeight="1">
      <c r="A72" s="33"/>
      <c r="B72" s="203"/>
      <c r="C72" s="37"/>
      <c r="D72" s="111"/>
      <c r="E72" s="111"/>
      <c r="F72" s="111"/>
      <c r="G72" s="111"/>
      <c r="H72" s="111"/>
      <c r="I72" s="111"/>
      <c r="J72" s="112"/>
      <c r="K72" s="112"/>
      <c r="L72" s="109"/>
      <c r="M72" s="108"/>
      <c r="N72" s="101"/>
      <c r="O72" s="101"/>
      <c r="P72" s="101"/>
    </row>
    <row r="73" spans="1:16" s="44" customFormat="1" ht="21.75" customHeight="1">
      <c r="A73" s="33"/>
      <c r="B73" s="203"/>
      <c r="C73" s="37"/>
      <c r="D73" s="111"/>
      <c r="E73" s="111"/>
      <c r="F73" s="111"/>
      <c r="G73" s="111"/>
      <c r="H73" s="111"/>
      <c r="I73" s="111"/>
      <c r="J73" s="112"/>
      <c r="K73" s="112"/>
      <c r="L73" s="109"/>
      <c r="M73" s="108"/>
      <c r="N73" s="101"/>
      <c r="O73" s="101"/>
      <c r="P73" s="101"/>
    </row>
    <row r="74" spans="1:16" s="44" customFormat="1" ht="21.75" customHeight="1">
      <c r="A74" s="33"/>
      <c r="B74" s="203"/>
      <c r="C74" s="37"/>
      <c r="D74" s="111"/>
      <c r="E74" s="111"/>
      <c r="F74" s="111"/>
      <c r="G74" s="111"/>
      <c r="H74" s="111"/>
      <c r="I74" s="111"/>
      <c r="J74" s="112"/>
      <c r="K74" s="112"/>
      <c r="L74" s="109"/>
      <c r="M74" s="108"/>
      <c r="N74" s="101"/>
      <c r="O74" s="101"/>
      <c r="P74" s="101"/>
    </row>
    <row r="75" spans="1:16" s="44" customFormat="1" ht="21.75" customHeight="1">
      <c r="A75" s="33"/>
      <c r="B75" s="202"/>
      <c r="C75" s="37"/>
      <c r="D75" s="111"/>
      <c r="E75" s="111"/>
      <c r="F75" s="111"/>
      <c r="G75" s="111"/>
      <c r="H75" s="111"/>
      <c r="I75" s="111"/>
      <c r="J75" s="112"/>
      <c r="K75" s="112"/>
      <c r="L75" s="109"/>
      <c r="M75" s="108"/>
      <c r="N75" s="101"/>
      <c r="O75" s="101"/>
      <c r="P75" s="101"/>
    </row>
    <row r="76" spans="1:16" s="44" customFormat="1" ht="21.75" customHeight="1">
      <c r="A76" s="109">
        <v>64</v>
      </c>
      <c r="B76" s="110"/>
      <c r="C76" s="111"/>
      <c r="D76" s="111"/>
      <c r="E76" s="111"/>
      <c r="F76" s="111"/>
      <c r="G76" s="111"/>
      <c r="H76" s="111"/>
      <c r="I76" s="111"/>
      <c r="J76" s="112"/>
      <c r="K76" s="112"/>
      <c r="L76" s="109"/>
      <c r="M76" s="108"/>
      <c r="N76" s="101"/>
      <c r="O76" s="101"/>
      <c r="P76" s="101"/>
    </row>
    <row r="77" spans="1:16" s="44" customFormat="1" ht="21.75" customHeight="1">
      <c r="A77" s="109">
        <v>65</v>
      </c>
      <c r="B77" s="110"/>
      <c r="C77" s="111"/>
      <c r="D77" s="111"/>
      <c r="E77" s="111"/>
      <c r="F77" s="111"/>
      <c r="G77" s="111"/>
      <c r="H77" s="111"/>
      <c r="I77" s="111" t="str">
        <f t="shared" ref="I77:I112" si="10">IF($B77="","",IF(COUNT(C77:H77)=0,"",SUM(C77:H77)))</f>
        <v/>
      </c>
      <c r="J77" s="112" t="str">
        <f t="shared" ref="J77:J112" si="11">IF($B77="","",IF(COUNT(C77:H77)=0,"",ROUND(AVERAGE(C77:H77),2)))</f>
        <v/>
      </c>
      <c r="K77" s="112" t="str">
        <f t="shared" ref="K77:K112" si="12">IF($B77="","",IF(COUNT(C77:H77)=0,"",ROUND((IF(ISNUMBER(C77),IF(C77&gt;=80,5,IF(C77&gt;=70,4,IF(C77&gt;=60,3.5,IF(C77&gt;=50,3,IF(C77&gt;=40,2,IF(C77&gt;=33,1,0)))))),0)+IF(ISNUMBER(D77),IF(D77&gt;=80,5,IF(D77&gt;=70,4,IF(D77&gt;=60,3.5,IF(D77&gt;=50,3,IF(D77&gt;=40,2,IF(D77&gt;=33,1,0)))))),0)+IF(ISNUMBER(E77),IF(E77&gt;=80,5,IF(E77&gt;=70,4,IF(E77&gt;=60,3.5,IF(E77&gt;=50,3,IF(E77&gt;=40,2,IF(E77&gt;=33,1,0)))))),0)+IF(ISNUMBER(F77),IF(F77&gt;=80,5,IF(F77&gt;=70,4,IF(F77&gt;=60,3.5,IF(F77&gt;=50,3,IF(F77&gt;=40,2,IF(F77&gt;=33,1,0)))))),0)+IF(ISNUMBER(G77),IF(G77&gt;=80,5,IF(G77&gt;=70,4,IF(G77&gt;=60,3.5,IF(G77&gt;=50,3,IF(G77&gt;=40,2,IF(G77&gt;=33,1,0)))))),0)+IF(ISNUMBER(H77),IF(H77&gt;=80,5,IF(H77&gt;=70,4,IF(H77&gt;=60,3.5,IF(H77&gt;=50,3,IF(H77&gt;=40,2,IF(H77&gt;=33,1,0)))))),0))/COUNT(C77:H77),2)))</f>
        <v/>
      </c>
      <c r="L77" s="109" t="str">
        <f t="shared" ref="L77:L112" si="13">IF($B77="","",IF(K77="","",IF(K77=0,"Fail",IF(K77=5,"A+",IF(K77&gt;=4,"A",IF(K77&gt;=3.5,"A-",IF(K77&gt;=3,"B",IF(K77&gt;=2,"C",IF(K77&gt;=1,"D","F")))))))))</f>
        <v/>
      </c>
      <c r="M77" s="108"/>
      <c r="N77" s="101"/>
      <c r="O77" s="101"/>
      <c r="P77" s="101"/>
    </row>
    <row r="78" spans="1:16" s="44" customFormat="1" ht="21.75" customHeight="1">
      <c r="A78" s="109">
        <v>66</v>
      </c>
      <c r="B78" s="110"/>
      <c r="C78" s="111"/>
      <c r="D78" s="111"/>
      <c r="E78" s="111"/>
      <c r="F78" s="111"/>
      <c r="G78" s="111"/>
      <c r="H78" s="111"/>
      <c r="I78" s="111" t="str">
        <f t="shared" si="10"/>
        <v/>
      </c>
      <c r="J78" s="112" t="str">
        <f t="shared" si="11"/>
        <v/>
      </c>
      <c r="K78" s="112" t="str">
        <f t="shared" si="12"/>
        <v/>
      </c>
      <c r="L78" s="109" t="str">
        <f t="shared" si="13"/>
        <v/>
      </c>
      <c r="M78" s="108" t="str">
        <f t="shared" ref="M78:M112" si="14">IF($B78="","",IF($J78="","",IF(1+SUMPRODUCT(($J$14:$J$112&lt;&gt;"")*($J$14:$J$112&gt;$J78)/COUNTIF($J$14:$J$112,$J$14:$J$112))=1,"1g",IF(1+SUMPRODUCT(($J$14:$J$112&lt;&gt;"")*($J$14:$J$112&gt;$J78)/COUNTIF($J$14:$J$112,$J$14:$J$112))=2,"2q",IF(1+SUMPRODUCT(($J$14:$J$112&lt;&gt;"")*($J$14:$J$112&gt;$J78)/COUNTIF($J$14:$J$112,$J$14:$J$112))=3,"3q",1+SUMPRODUCT(($J$14:$J$112&lt;&gt;"")*($J$14:$J$112&gt;$J78)/COUNTIF($J$14:$J$112,$J$14:$J$112)))))))</f>
        <v/>
      </c>
      <c r="N78" s="101"/>
      <c r="O78" s="101"/>
      <c r="P78" s="101"/>
    </row>
    <row r="79" spans="1:16" s="44" customFormat="1" ht="21.75" customHeight="1">
      <c r="A79" s="109">
        <v>67</v>
      </c>
      <c r="B79" s="110"/>
      <c r="C79" s="111"/>
      <c r="D79" s="111"/>
      <c r="E79" s="111"/>
      <c r="F79" s="111"/>
      <c r="G79" s="111"/>
      <c r="H79" s="111"/>
      <c r="I79" s="111" t="str">
        <f t="shared" si="10"/>
        <v/>
      </c>
      <c r="J79" s="112" t="str">
        <f t="shared" si="11"/>
        <v/>
      </c>
      <c r="K79" s="112" t="str">
        <f t="shared" si="12"/>
        <v/>
      </c>
      <c r="L79" s="109" t="str">
        <f t="shared" si="13"/>
        <v/>
      </c>
      <c r="M79" s="108" t="str">
        <f t="shared" si="14"/>
        <v/>
      </c>
      <c r="N79" s="101"/>
      <c r="O79" s="101"/>
      <c r="P79" s="101"/>
    </row>
    <row r="80" spans="1:16" s="44" customFormat="1" ht="21.75" customHeight="1">
      <c r="A80" s="109">
        <v>68</v>
      </c>
      <c r="B80" s="110"/>
      <c r="C80" s="111"/>
      <c r="D80" s="111"/>
      <c r="E80" s="111"/>
      <c r="F80" s="111"/>
      <c r="G80" s="111"/>
      <c r="H80" s="111"/>
      <c r="I80" s="111" t="str">
        <f t="shared" si="10"/>
        <v/>
      </c>
      <c r="J80" s="112" t="str">
        <f t="shared" si="11"/>
        <v/>
      </c>
      <c r="K80" s="112" t="str">
        <f t="shared" si="12"/>
        <v/>
      </c>
      <c r="L80" s="109" t="str">
        <f t="shared" si="13"/>
        <v/>
      </c>
      <c r="M80" s="108" t="str">
        <f t="shared" si="14"/>
        <v/>
      </c>
      <c r="N80" s="101"/>
      <c r="O80" s="101"/>
      <c r="P80" s="101"/>
    </row>
    <row r="81" spans="1:16" s="44" customFormat="1" ht="21.75" customHeight="1">
      <c r="A81" s="109">
        <v>69</v>
      </c>
      <c r="B81" s="110"/>
      <c r="C81" s="111"/>
      <c r="D81" s="111"/>
      <c r="E81" s="111"/>
      <c r="F81" s="111"/>
      <c r="G81" s="111"/>
      <c r="H81" s="111"/>
      <c r="I81" s="111" t="str">
        <f t="shared" si="10"/>
        <v/>
      </c>
      <c r="J81" s="112" t="str">
        <f t="shared" si="11"/>
        <v/>
      </c>
      <c r="K81" s="112" t="str">
        <f t="shared" si="12"/>
        <v/>
      </c>
      <c r="L81" s="109" t="str">
        <f t="shared" si="13"/>
        <v/>
      </c>
      <c r="M81" s="108" t="str">
        <f t="shared" si="14"/>
        <v/>
      </c>
      <c r="N81" s="101"/>
      <c r="O81" s="101"/>
      <c r="P81" s="101"/>
    </row>
    <row r="82" spans="1:16" s="44" customFormat="1" ht="21.75" customHeight="1">
      <c r="A82" s="109">
        <v>70</v>
      </c>
      <c r="B82" s="110"/>
      <c r="C82" s="111"/>
      <c r="D82" s="111"/>
      <c r="E82" s="111"/>
      <c r="F82" s="111"/>
      <c r="G82" s="111"/>
      <c r="H82" s="111"/>
      <c r="I82" s="111" t="str">
        <f t="shared" si="10"/>
        <v/>
      </c>
      <c r="J82" s="112" t="str">
        <f t="shared" si="11"/>
        <v/>
      </c>
      <c r="K82" s="112" t="str">
        <f t="shared" si="12"/>
        <v/>
      </c>
      <c r="L82" s="109" t="str">
        <f t="shared" si="13"/>
        <v/>
      </c>
      <c r="M82" s="108" t="str">
        <f t="shared" si="14"/>
        <v/>
      </c>
      <c r="N82" s="101"/>
      <c r="O82" s="101"/>
      <c r="P82" s="101"/>
    </row>
    <row r="83" spans="1:16" s="44" customFormat="1" ht="21.75" customHeight="1">
      <c r="A83" s="109">
        <v>71</v>
      </c>
      <c r="B83" s="110"/>
      <c r="C83" s="111"/>
      <c r="D83" s="111"/>
      <c r="E83" s="111"/>
      <c r="F83" s="111"/>
      <c r="G83" s="111"/>
      <c r="H83" s="111"/>
      <c r="I83" s="111" t="str">
        <f t="shared" si="10"/>
        <v/>
      </c>
      <c r="J83" s="112" t="str">
        <f t="shared" si="11"/>
        <v/>
      </c>
      <c r="K83" s="112" t="str">
        <f t="shared" si="12"/>
        <v/>
      </c>
      <c r="L83" s="109" t="str">
        <f t="shared" si="13"/>
        <v/>
      </c>
      <c r="M83" s="108" t="str">
        <f t="shared" si="14"/>
        <v/>
      </c>
      <c r="N83" s="101"/>
      <c r="O83" s="101"/>
      <c r="P83" s="101"/>
    </row>
    <row r="84" spans="1:16" s="44" customFormat="1" ht="21.75" customHeight="1">
      <c r="A84" s="109">
        <v>72</v>
      </c>
      <c r="B84" s="110"/>
      <c r="C84" s="111"/>
      <c r="D84" s="111"/>
      <c r="E84" s="111"/>
      <c r="F84" s="111"/>
      <c r="G84" s="111"/>
      <c r="H84" s="111"/>
      <c r="I84" s="111" t="str">
        <f t="shared" si="10"/>
        <v/>
      </c>
      <c r="J84" s="112" t="str">
        <f t="shared" si="11"/>
        <v/>
      </c>
      <c r="K84" s="112" t="str">
        <f t="shared" si="12"/>
        <v/>
      </c>
      <c r="L84" s="109" t="str">
        <f t="shared" si="13"/>
        <v/>
      </c>
      <c r="M84" s="108" t="str">
        <f t="shared" si="14"/>
        <v/>
      </c>
      <c r="N84" s="101"/>
      <c r="O84" s="101"/>
      <c r="P84" s="101"/>
    </row>
    <row r="85" spans="1:16" s="44" customFormat="1" ht="21.75" customHeight="1">
      <c r="A85" s="109">
        <v>73</v>
      </c>
      <c r="B85" s="110"/>
      <c r="C85" s="111"/>
      <c r="D85" s="111"/>
      <c r="E85" s="111"/>
      <c r="F85" s="111"/>
      <c r="G85" s="111"/>
      <c r="H85" s="111"/>
      <c r="I85" s="111" t="str">
        <f t="shared" si="10"/>
        <v/>
      </c>
      <c r="J85" s="112" t="str">
        <f t="shared" si="11"/>
        <v/>
      </c>
      <c r="K85" s="112" t="str">
        <f t="shared" si="12"/>
        <v/>
      </c>
      <c r="L85" s="109" t="str">
        <f t="shared" si="13"/>
        <v/>
      </c>
      <c r="M85" s="108" t="str">
        <f t="shared" si="14"/>
        <v/>
      </c>
      <c r="N85" s="101"/>
      <c r="O85" s="101"/>
      <c r="P85" s="101"/>
    </row>
    <row r="86" spans="1:16" s="44" customFormat="1" ht="21.75" customHeight="1">
      <c r="A86" s="109">
        <v>74</v>
      </c>
      <c r="B86" s="110"/>
      <c r="C86" s="111"/>
      <c r="D86" s="111"/>
      <c r="E86" s="111"/>
      <c r="F86" s="111"/>
      <c r="G86" s="111"/>
      <c r="H86" s="111"/>
      <c r="I86" s="111" t="str">
        <f t="shared" si="10"/>
        <v/>
      </c>
      <c r="J86" s="112" t="str">
        <f t="shared" si="11"/>
        <v/>
      </c>
      <c r="K86" s="112" t="str">
        <f t="shared" si="12"/>
        <v/>
      </c>
      <c r="L86" s="109" t="str">
        <f t="shared" si="13"/>
        <v/>
      </c>
      <c r="M86" s="108" t="str">
        <f t="shared" si="14"/>
        <v/>
      </c>
      <c r="N86" s="101"/>
      <c r="O86" s="101"/>
      <c r="P86" s="101"/>
    </row>
    <row r="87" spans="1:16" s="44" customFormat="1" ht="21.75" customHeight="1">
      <c r="A87" s="109">
        <v>75</v>
      </c>
      <c r="B87" s="110"/>
      <c r="C87" s="111"/>
      <c r="D87" s="111"/>
      <c r="E87" s="111"/>
      <c r="F87" s="111"/>
      <c r="G87" s="111"/>
      <c r="H87" s="111"/>
      <c r="I87" s="111" t="str">
        <f t="shared" si="10"/>
        <v/>
      </c>
      <c r="J87" s="112" t="str">
        <f t="shared" si="11"/>
        <v/>
      </c>
      <c r="K87" s="112" t="str">
        <f t="shared" si="12"/>
        <v/>
      </c>
      <c r="L87" s="109" t="str">
        <f t="shared" si="13"/>
        <v/>
      </c>
      <c r="M87" s="108" t="str">
        <f t="shared" si="14"/>
        <v/>
      </c>
      <c r="N87" s="101"/>
      <c r="O87" s="101"/>
      <c r="P87" s="101"/>
    </row>
    <row r="88" spans="1:16" s="44" customFormat="1" ht="21.75" customHeight="1">
      <c r="A88" s="109">
        <v>76</v>
      </c>
      <c r="B88" s="110"/>
      <c r="C88" s="111"/>
      <c r="D88" s="111"/>
      <c r="E88" s="111"/>
      <c r="F88" s="111"/>
      <c r="G88" s="111"/>
      <c r="H88" s="111"/>
      <c r="I88" s="111" t="str">
        <f t="shared" si="10"/>
        <v/>
      </c>
      <c r="J88" s="112" t="str">
        <f t="shared" si="11"/>
        <v/>
      </c>
      <c r="K88" s="112" t="str">
        <f t="shared" si="12"/>
        <v/>
      </c>
      <c r="L88" s="109" t="str">
        <f t="shared" si="13"/>
        <v/>
      </c>
      <c r="M88" s="108" t="str">
        <f t="shared" si="14"/>
        <v/>
      </c>
      <c r="N88" s="101"/>
      <c r="O88" s="101"/>
      <c r="P88" s="101"/>
    </row>
    <row r="89" spans="1:16" s="44" customFormat="1" ht="21.75" customHeight="1">
      <c r="A89" s="109">
        <v>77</v>
      </c>
      <c r="B89" s="110"/>
      <c r="C89" s="111"/>
      <c r="D89" s="111"/>
      <c r="E89" s="111"/>
      <c r="F89" s="111"/>
      <c r="G89" s="111"/>
      <c r="H89" s="111"/>
      <c r="I89" s="111" t="str">
        <f t="shared" si="10"/>
        <v/>
      </c>
      <c r="J89" s="112" t="str">
        <f t="shared" si="11"/>
        <v/>
      </c>
      <c r="K89" s="112" t="str">
        <f t="shared" si="12"/>
        <v/>
      </c>
      <c r="L89" s="109" t="str">
        <f t="shared" si="13"/>
        <v/>
      </c>
      <c r="M89" s="108" t="str">
        <f t="shared" si="14"/>
        <v/>
      </c>
      <c r="N89" s="101"/>
      <c r="O89" s="101"/>
      <c r="P89" s="101"/>
    </row>
    <row r="90" spans="1:16" s="44" customFormat="1" ht="21.75" customHeight="1">
      <c r="A90" s="109">
        <v>78</v>
      </c>
      <c r="B90" s="110"/>
      <c r="C90" s="111"/>
      <c r="D90" s="111"/>
      <c r="E90" s="111"/>
      <c r="F90" s="111"/>
      <c r="G90" s="111"/>
      <c r="H90" s="111"/>
      <c r="I90" s="111" t="str">
        <f t="shared" si="10"/>
        <v/>
      </c>
      <c r="J90" s="112" t="str">
        <f t="shared" si="11"/>
        <v/>
      </c>
      <c r="K90" s="112" t="str">
        <f t="shared" si="12"/>
        <v/>
      </c>
      <c r="L90" s="109" t="str">
        <f t="shared" si="13"/>
        <v/>
      </c>
      <c r="M90" s="108" t="str">
        <f t="shared" si="14"/>
        <v/>
      </c>
      <c r="N90" s="101"/>
      <c r="O90" s="101"/>
      <c r="P90" s="101"/>
    </row>
    <row r="91" spans="1:16" s="44" customFormat="1" ht="21.75" customHeight="1">
      <c r="A91" s="109">
        <v>79</v>
      </c>
      <c r="B91" s="110"/>
      <c r="C91" s="111"/>
      <c r="D91" s="111"/>
      <c r="E91" s="111"/>
      <c r="F91" s="111"/>
      <c r="G91" s="111"/>
      <c r="H91" s="111"/>
      <c r="I91" s="111" t="str">
        <f t="shared" si="10"/>
        <v/>
      </c>
      <c r="J91" s="112" t="str">
        <f t="shared" si="11"/>
        <v/>
      </c>
      <c r="K91" s="112" t="str">
        <f t="shared" si="12"/>
        <v/>
      </c>
      <c r="L91" s="109" t="str">
        <f t="shared" si="13"/>
        <v/>
      </c>
      <c r="M91" s="108" t="str">
        <f t="shared" si="14"/>
        <v/>
      </c>
      <c r="N91" s="101"/>
      <c r="O91" s="101"/>
      <c r="P91" s="101"/>
    </row>
    <row r="92" spans="1:16" s="44" customFormat="1" ht="21.75" customHeight="1">
      <c r="A92" s="109">
        <v>80</v>
      </c>
      <c r="B92" s="110"/>
      <c r="C92" s="111"/>
      <c r="D92" s="111"/>
      <c r="E92" s="111"/>
      <c r="F92" s="111"/>
      <c r="G92" s="111"/>
      <c r="H92" s="111"/>
      <c r="I92" s="111" t="str">
        <f t="shared" si="10"/>
        <v/>
      </c>
      <c r="J92" s="112" t="str">
        <f t="shared" si="11"/>
        <v/>
      </c>
      <c r="K92" s="112" t="str">
        <f t="shared" si="12"/>
        <v/>
      </c>
      <c r="L92" s="109" t="str">
        <f t="shared" si="13"/>
        <v/>
      </c>
      <c r="M92" s="108" t="str">
        <f t="shared" si="14"/>
        <v/>
      </c>
      <c r="N92" s="101"/>
      <c r="O92" s="101"/>
      <c r="P92" s="101"/>
    </row>
    <row r="93" spans="1:16" s="44" customFormat="1" ht="21.75" customHeight="1">
      <c r="A93" s="109">
        <v>81</v>
      </c>
      <c r="B93" s="110"/>
      <c r="C93" s="111"/>
      <c r="D93" s="111"/>
      <c r="E93" s="111"/>
      <c r="F93" s="111"/>
      <c r="G93" s="111"/>
      <c r="H93" s="111"/>
      <c r="I93" s="111" t="str">
        <f t="shared" si="10"/>
        <v/>
      </c>
      <c r="J93" s="112" t="str">
        <f t="shared" si="11"/>
        <v/>
      </c>
      <c r="K93" s="112" t="str">
        <f t="shared" si="12"/>
        <v/>
      </c>
      <c r="L93" s="109" t="str">
        <f t="shared" si="13"/>
        <v/>
      </c>
      <c r="M93" s="108" t="str">
        <f t="shared" si="14"/>
        <v/>
      </c>
      <c r="N93" s="101"/>
      <c r="O93" s="101"/>
      <c r="P93" s="101"/>
    </row>
    <row r="94" spans="1:16" s="44" customFormat="1" ht="21.75" customHeight="1">
      <c r="A94" s="109">
        <v>82</v>
      </c>
      <c r="B94" s="110"/>
      <c r="C94" s="111"/>
      <c r="D94" s="111"/>
      <c r="E94" s="111"/>
      <c r="F94" s="111"/>
      <c r="G94" s="111"/>
      <c r="H94" s="111"/>
      <c r="I94" s="111" t="str">
        <f t="shared" si="10"/>
        <v/>
      </c>
      <c r="J94" s="112" t="str">
        <f t="shared" si="11"/>
        <v/>
      </c>
      <c r="K94" s="112" t="str">
        <f t="shared" si="12"/>
        <v/>
      </c>
      <c r="L94" s="109" t="str">
        <f t="shared" si="13"/>
        <v/>
      </c>
      <c r="M94" s="108" t="str">
        <f t="shared" si="14"/>
        <v/>
      </c>
      <c r="N94" s="101"/>
      <c r="O94" s="101"/>
      <c r="P94" s="101"/>
    </row>
    <row r="95" spans="1:16" s="44" customFormat="1" ht="21.75" customHeight="1">
      <c r="A95" s="109">
        <v>83</v>
      </c>
      <c r="B95" s="110"/>
      <c r="C95" s="111"/>
      <c r="D95" s="111"/>
      <c r="E95" s="111"/>
      <c r="F95" s="111"/>
      <c r="G95" s="111"/>
      <c r="H95" s="111"/>
      <c r="I95" s="111" t="str">
        <f t="shared" si="10"/>
        <v/>
      </c>
      <c r="J95" s="112" t="str">
        <f t="shared" si="11"/>
        <v/>
      </c>
      <c r="K95" s="112" t="str">
        <f t="shared" si="12"/>
        <v/>
      </c>
      <c r="L95" s="109" t="str">
        <f t="shared" si="13"/>
        <v/>
      </c>
      <c r="M95" s="108" t="str">
        <f t="shared" si="14"/>
        <v/>
      </c>
      <c r="N95" s="101"/>
      <c r="O95" s="101"/>
      <c r="P95" s="101"/>
    </row>
    <row r="96" spans="1:16" s="44" customFormat="1" ht="21.75" customHeight="1">
      <c r="A96" s="109">
        <v>84</v>
      </c>
      <c r="B96" s="110"/>
      <c r="C96" s="111"/>
      <c r="D96" s="111"/>
      <c r="E96" s="111"/>
      <c r="F96" s="111"/>
      <c r="G96" s="111"/>
      <c r="H96" s="111"/>
      <c r="I96" s="111" t="str">
        <f t="shared" si="10"/>
        <v/>
      </c>
      <c r="J96" s="112" t="str">
        <f t="shared" si="11"/>
        <v/>
      </c>
      <c r="K96" s="112" t="str">
        <f t="shared" si="12"/>
        <v/>
      </c>
      <c r="L96" s="109" t="str">
        <f t="shared" si="13"/>
        <v/>
      </c>
      <c r="M96" s="108" t="str">
        <f t="shared" si="14"/>
        <v/>
      </c>
      <c r="N96" s="101"/>
      <c r="O96" s="101"/>
      <c r="P96" s="101"/>
    </row>
    <row r="97" spans="1:16" s="44" customFormat="1" ht="21.75" customHeight="1">
      <c r="A97" s="109">
        <v>85</v>
      </c>
      <c r="B97" s="110"/>
      <c r="C97" s="111"/>
      <c r="D97" s="111"/>
      <c r="E97" s="111"/>
      <c r="F97" s="111"/>
      <c r="G97" s="111"/>
      <c r="H97" s="111"/>
      <c r="I97" s="111" t="str">
        <f t="shared" si="10"/>
        <v/>
      </c>
      <c r="J97" s="112" t="str">
        <f t="shared" si="11"/>
        <v/>
      </c>
      <c r="K97" s="112" t="str">
        <f t="shared" si="12"/>
        <v/>
      </c>
      <c r="L97" s="109" t="str">
        <f t="shared" si="13"/>
        <v/>
      </c>
      <c r="M97" s="108" t="str">
        <f t="shared" si="14"/>
        <v/>
      </c>
      <c r="N97" s="101"/>
      <c r="O97" s="101"/>
      <c r="P97" s="101"/>
    </row>
    <row r="98" spans="1:16" s="44" customFormat="1" ht="21.75" customHeight="1">
      <c r="A98" s="109">
        <v>86</v>
      </c>
      <c r="B98" s="110"/>
      <c r="C98" s="111"/>
      <c r="D98" s="111"/>
      <c r="E98" s="111"/>
      <c r="F98" s="111"/>
      <c r="G98" s="111"/>
      <c r="H98" s="111"/>
      <c r="I98" s="111" t="str">
        <f t="shared" si="10"/>
        <v/>
      </c>
      <c r="J98" s="112" t="str">
        <f t="shared" si="11"/>
        <v/>
      </c>
      <c r="K98" s="112" t="str">
        <f t="shared" si="12"/>
        <v/>
      </c>
      <c r="L98" s="109" t="str">
        <f t="shared" si="13"/>
        <v/>
      </c>
      <c r="M98" s="108" t="str">
        <f t="shared" si="14"/>
        <v/>
      </c>
      <c r="N98" s="101"/>
      <c r="O98" s="101"/>
      <c r="P98" s="101"/>
    </row>
    <row r="99" spans="1:16" s="44" customFormat="1" ht="21.75" customHeight="1">
      <c r="A99" s="109">
        <v>87</v>
      </c>
      <c r="B99" s="110"/>
      <c r="C99" s="111"/>
      <c r="D99" s="111"/>
      <c r="E99" s="111"/>
      <c r="F99" s="111"/>
      <c r="G99" s="111"/>
      <c r="H99" s="111"/>
      <c r="I99" s="111" t="str">
        <f t="shared" si="10"/>
        <v/>
      </c>
      <c r="J99" s="112" t="str">
        <f t="shared" si="11"/>
        <v/>
      </c>
      <c r="K99" s="112" t="str">
        <f t="shared" si="12"/>
        <v/>
      </c>
      <c r="L99" s="109" t="str">
        <f t="shared" si="13"/>
        <v/>
      </c>
      <c r="M99" s="108" t="str">
        <f t="shared" si="14"/>
        <v/>
      </c>
      <c r="N99" s="101"/>
      <c r="O99" s="101"/>
      <c r="P99" s="101"/>
    </row>
    <row r="100" spans="1:16" s="44" customFormat="1" ht="21.75" customHeight="1">
      <c r="A100" s="109">
        <v>88</v>
      </c>
      <c r="B100" s="110"/>
      <c r="C100" s="111"/>
      <c r="D100" s="111"/>
      <c r="E100" s="111"/>
      <c r="F100" s="111"/>
      <c r="G100" s="111"/>
      <c r="H100" s="111"/>
      <c r="I100" s="111" t="str">
        <f t="shared" si="10"/>
        <v/>
      </c>
      <c r="J100" s="112" t="str">
        <f t="shared" si="11"/>
        <v/>
      </c>
      <c r="K100" s="112" t="str">
        <f t="shared" si="12"/>
        <v/>
      </c>
      <c r="L100" s="109" t="str">
        <f t="shared" si="13"/>
        <v/>
      </c>
      <c r="M100" s="108" t="str">
        <f t="shared" si="14"/>
        <v/>
      </c>
      <c r="N100" s="101"/>
      <c r="O100" s="101"/>
      <c r="P100" s="101"/>
    </row>
    <row r="101" spans="1:16" s="44" customFormat="1" ht="21.75" customHeight="1">
      <c r="A101" s="109">
        <v>89</v>
      </c>
      <c r="B101" s="110"/>
      <c r="C101" s="111"/>
      <c r="D101" s="111"/>
      <c r="E101" s="111"/>
      <c r="F101" s="111"/>
      <c r="G101" s="111"/>
      <c r="H101" s="111"/>
      <c r="I101" s="111" t="str">
        <f t="shared" si="10"/>
        <v/>
      </c>
      <c r="J101" s="112" t="str">
        <f t="shared" si="11"/>
        <v/>
      </c>
      <c r="K101" s="112" t="str">
        <f t="shared" si="12"/>
        <v/>
      </c>
      <c r="L101" s="109" t="str">
        <f t="shared" si="13"/>
        <v/>
      </c>
      <c r="M101" s="108" t="str">
        <f t="shared" si="14"/>
        <v/>
      </c>
      <c r="N101" s="101"/>
      <c r="O101" s="101"/>
      <c r="P101" s="101"/>
    </row>
    <row r="102" spans="1:16" s="44" customFormat="1" ht="21.75" customHeight="1">
      <c r="A102" s="109">
        <v>90</v>
      </c>
      <c r="B102" s="110"/>
      <c r="C102" s="111"/>
      <c r="D102" s="111"/>
      <c r="E102" s="111"/>
      <c r="F102" s="111"/>
      <c r="G102" s="111"/>
      <c r="H102" s="111"/>
      <c r="I102" s="111" t="str">
        <f t="shared" si="10"/>
        <v/>
      </c>
      <c r="J102" s="112" t="str">
        <f t="shared" si="11"/>
        <v/>
      </c>
      <c r="K102" s="112" t="str">
        <f t="shared" si="12"/>
        <v/>
      </c>
      <c r="L102" s="109" t="str">
        <f t="shared" si="13"/>
        <v/>
      </c>
      <c r="M102" s="108" t="str">
        <f t="shared" si="14"/>
        <v/>
      </c>
      <c r="N102" s="101"/>
      <c r="O102" s="101"/>
      <c r="P102" s="101"/>
    </row>
    <row r="103" spans="1:16" s="44" customFormat="1" ht="21.75" customHeight="1">
      <c r="A103" s="109">
        <v>91</v>
      </c>
      <c r="B103" s="110"/>
      <c r="C103" s="111"/>
      <c r="D103" s="111"/>
      <c r="E103" s="111"/>
      <c r="F103" s="111"/>
      <c r="G103" s="111"/>
      <c r="H103" s="111"/>
      <c r="I103" s="111" t="str">
        <f t="shared" si="10"/>
        <v/>
      </c>
      <c r="J103" s="112" t="str">
        <f t="shared" si="11"/>
        <v/>
      </c>
      <c r="K103" s="112" t="str">
        <f t="shared" si="12"/>
        <v/>
      </c>
      <c r="L103" s="109" t="str">
        <f t="shared" si="13"/>
        <v/>
      </c>
      <c r="M103" s="108" t="str">
        <f t="shared" si="14"/>
        <v/>
      </c>
      <c r="N103" s="101"/>
      <c r="O103" s="101"/>
      <c r="P103" s="101"/>
    </row>
    <row r="104" spans="1:16" s="44" customFormat="1" ht="21.75" customHeight="1">
      <c r="A104" s="109">
        <v>92</v>
      </c>
      <c r="B104" s="110"/>
      <c r="C104" s="111"/>
      <c r="D104" s="111"/>
      <c r="E104" s="111"/>
      <c r="F104" s="111"/>
      <c r="G104" s="111"/>
      <c r="H104" s="111"/>
      <c r="I104" s="111" t="str">
        <f t="shared" si="10"/>
        <v/>
      </c>
      <c r="J104" s="112" t="str">
        <f t="shared" si="11"/>
        <v/>
      </c>
      <c r="K104" s="112" t="str">
        <f t="shared" si="12"/>
        <v/>
      </c>
      <c r="L104" s="109" t="str">
        <f t="shared" si="13"/>
        <v/>
      </c>
      <c r="M104" s="108" t="str">
        <f t="shared" si="14"/>
        <v/>
      </c>
      <c r="N104" s="101"/>
      <c r="O104" s="101"/>
      <c r="P104" s="101"/>
    </row>
    <row r="105" spans="1:16" s="44" customFormat="1" ht="21.75" customHeight="1">
      <c r="A105" s="109">
        <v>93</v>
      </c>
      <c r="B105" s="110"/>
      <c r="C105" s="111"/>
      <c r="D105" s="111"/>
      <c r="E105" s="111"/>
      <c r="F105" s="111"/>
      <c r="G105" s="111"/>
      <c r="H105" s="111"/>
      <c r="I105" s="111" t="str">
        <f t="shared" si="10"/>
        <v/>
      </c>
      <c r="J105" s="112" t="str">
        <f t="shared" si="11"/>
        <v/>
      </c>
      <c r="K105" s="112" t="str">
        <f t="shared" si="12"/>
        <v/>
      </c>
      <c r="L105" s="109" t="str">
        <f t="shared" si="13"/>
        <v/>
      </c>
      <c r="M105" s="108" t="str">
        <f t="shared" si="14"/>
        <v/>
      </c>
      <c r="N105" s="101"/>
      <c r="O105" s="101"/>
      <c r="P105" s="101"/>
    </row>
    <row r="106" spans="1:16" s="44" customFormat="1" ht="21.75" customHeight="1">
      <c r="A106" s="109">
        <v>94</v>
      </c>
      <c r="B106" s="110"/>
      <c r="C106" s="111"/>
      <c r="D106" s="111"/>
      <c r="E106" s="111"/>
      <c r="F106" s="111"/>
      <c r="G106" s="111"/>
      <c r="H106" s="111"/>
      <c r="I106" s="111" t="str">
        <f t="shared" si="10"/>
        <v/>
      </c>
      <c r="J106" s="112" t="str">
        <f t="shared" si="11"/>
        <v/>
      </c>
      <c r="K106" s="112" t="str">
        <f t="shared" si="12"/>
        <v/>
      </c>
      <c r="L106" s="109" t="str">
        <f t="shared" si="13"/>
        <v/>
      </c>
      <c r="M106" s="108" t="str">
        <f t="shared" si="14"/>
        <v/>
      </c>
      <c r="N106" s="101"/>
      <c r="O106" s="101"/>
      <c r="P106" s="101"/>
    </row>
    <row r="107" spans="1:16" s="44" customFormat="1" ht="21.75" customHeight="1">
      <c r="A107" s="109">
        <v>95</v>
      </c>
      <c r="B107" s="110"/>
      <c r="C107" s="111"/>
      <c r="D107" s="111"/>
      <c r="E107" s="111"/>
      <c r="F107" s="111"/>
      <c r="G107" s="111"/>
      <c r="H107" s="111"/>
      <c r="I107" s="111" t="str">
        <f t="shared" si="10"/>
        <v/>
      </c>
      <c r="J107" s="112" t="str">
        <f t="shared" si="11"/>
        <v/>
      </c>
      <c r="K107" s="112" t="str">
        <f t="shared" si="12"/>
        <v/>
      </c>
      <c r="L107" s="109" t="str">
        <f t="shared" si="13"/>
        <v/>
      </c>
      <c r="M107" s="108" t="str">
        <f t="shared" si="14"/>
        <v/>
      </c>
      <c r="N107" s="101"/>
      <c r="O107" s="101"/>
      <c r="P107" s="101"/>
    </row>
    <row r="108" spans="1:16" s="44" customFormat="1" ht="21.75" customHeight="1">
      <c r="A108" s="109">
        <v>96</v>
      </c>
      <c r="B108" s="110"/>
      <c r="C108" s="111"/>
      <c r="D108" s="111"/>
      <c r="E108" s="111"/>
      <c r="F108" s="111"/>
      <c r="G108" s="111"/>
      <c r="H108" s="111"/>
      <c r="I108" s="111" t="str">
        <f t="shared" si="10"/>
        <v/>
      </c>
      <c r="J108" s="112" t="str">
        <f t="shared" si="11"/>
        <v/>
      </c>
      <c r="K108" s="112" t="str">
        <f t="shared" si="12"/>
        <v/>
      </c>
      <c r="L108" s="109" t="str">
        <f t="shared" si="13"/>
        <v/>
      </c>
      <c r="M108" s="108" t="str">
        <f t="shared" si="14"/>
        <v/>
      </c>
      <c r="N108" s="101"/>
      <c r="O108" s="101"/>
      <c r="P108" s="101"/>
    </row>
    <row r="109" spans="1:16" s="44" customFormat="1" ht="21.75" customHeight="1">
      <c r="A109" s="109">
        <v>97</v>
      </c>
      <c r="B109" s="110"/>
      <c r="C109" s="111"/>
      <c r="D109" s="111"/>
      <c r="E109" s="111"/>
      <c r="F109" s="111"/>
      <c r="G109" s="111"/>
      <c r="H109" s="111"/>
      <c r="I109" s="111" t="str">
        <f t="shared" si="10"/>
        <v/>
      </c>
      <c r="J109" s="112" t="str">
        <f t="shared" si="11"/>
        <v/>
      </c>
      <c r="K109" s="112" t="str">
        <f t="shared" si="12"/>
        <v/>
      </c>
      <c r="L109" s="109" t="str">
        <f t="shared" si="13"/>
        <v/>
      </c>
      <c r="M109" s="108" t="str">
        <f t="shared" si="14"/>
        <v/>
      </c>
      <c r="N109" s="101"/>
      <c r="O109" s="101"/>
      <c r="P109" s="101"/>
    </row>
    <row r="110" spans="1:16" s="44" customFormat="1" ht="21.75" customHeight="1">
      <c r="A110" s="109">
        <v>98</v>
      </c>
      <c r="B110" s="110"/>
      <c r="C110" s="111"/>
      <c r="D110" s="111"/>
      <c r="E110" s="111"/>
      <c r="F110" s="111"/>
      <c r="G110" s="111"/>
      <c r="H110" s="111"/>
      <c r="I110" s="111" t="str">
        <f t="shared" si="10"/>
        <v/>
      </c>
      <c r="J110" s="112" t="str">
        <f t="shared" si="11"/>
        <v/>
      </c>
      <c r="K110" s="112" t="str">
        <f t="shared" si="12"/>
        <v/>
      </c>
      <c r="L110" s="109" t="str">
        <f t="shared" si="13"/>
        <v/>
      </c>
      <c r="M110" s="108" t="str">
        <f t="shared" si="14"/>
        <v/>
      </c>
      <c r="N110" s="101"/>
      <c r="O110" s="101"/>
      <c r="P110" s="101"/>
    </row>
    <row r="111" spans="1:16" s="44" customFormat="1" ht="21.75" customHeight="1">
      <c r="A111" s="109">
        <v>99</v>
      </c>
      <c r="B111" s="110"/>
      <c r="C111" s="111"/>
      <c r="D111" s="111"/>
      <c r="E111" s="111"/>
      <c r="F111" s="111"/>
      <c r="G111" s="111"/>
      <c r="H111" s="111"/>
      <c r="I111" s="111" t="str">
        <f t="shared" si="10"/>
        <v/>
      </c>
      <c r="J111" s="112" t="str">
        <f t="shared" si="11"/>
        <v/>
      </c>
      <c r="K111" s="112" t="str">
        <f t="shared" si="12"/>
        <v/>
      </c>
      <c r="L111" s="109" t="str">
        <f t="shared" si="13"/>
        <v/>
      </c>
      <c r="M111" s="108" t="str">
        <f t="shared" si="14"/>
        <v/>
      </c>
      <c r="N111" s="101"/>
      <c r="O111" s="101"/>
      <c r="P111" s="101"/>
    </row>
    <row r="112" spans="1:16" s="44" customFormat="1" ht="21.75" customHeight="1">
      <c r="A112" s="109">
        <v>100</v>
      </c>
      <c r="B112" s="110"/>
      <c r="C112" s="111"/>
      <c r="D112" s="111"/>
      <c r="E112" s="111"/>
      <c r="F112" s="111"/>
      <c r="G112" s="111"/>
      <c r="H112" s="111"/>
      <c r="I112" s="111" t="str">
        <f t="shared" si="10"/>
        <v/>
      </c>
      <c r="J112" s="112" t="str">
        <f t="shared" si="11"/>
        <v/>
      </c>
      <c r="K112" s="112" t="str">
        <f t="shared" si="12"/>
        <v/>
      </c>
      <c r="L112" s="109" t="str">
        <f t="shared" si="13"/>
        <v/>
      </c>
      <c r="M112" s="108" t="str">
        <f t="shared" si="14"/>
        <v/>
      </c>
      <c r="N112" s="101"/>
      <c r="O112" s="101"/>
      <c r="P112" s="101"/>
    </row>
    <row r="113" spans="1:16" s="44" customFormat="1" ht="1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</row>
    <row r="114" spans="1:16" s="44" customFormat="1" ht="1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</row>
    <row r="115" spans="1:16" s="44" customFormat="1" ht="15" customHeight="1">
      <c r="A115" s="130" t="s">
        <v>58</v>
      </c>
      <c r="B115" s="130"/>
      <c r="C115" s="130"/>
      <c r="D115" s="130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</row>
    <row r="116" spans="1:16" s="44" customFormat="1" ht="15" customHeight="1">
      <c r="A116" s="113" t="s">
        <v>3</v>
      </c>
      <c r="B116" s="113" t="s">
        <v>4</v>
      </c>
      <c r="C116" s="113">
        <v>5</v>
      </c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</row>
    <row r="117" spans="1:16" s="44" customFormat="1" ht="15" customHeight="1">
      <c r="A117" s="113" t="s">
        <v>6</v>
      </c>
      <c r="B117" s="113" t="s">
        <v>7</v>
      </c>
      <c r="C117" s="113">
        <v>4</v>
      </c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</row>
    <row r="118" spans="1:16" s="44" customFormat="1" ht="15" customHeight="1">
      <c r="A118" s="113" t="s">
        <v>59</v>
      </c>
      <c r="B118" s="113" t="s">
        <v>9</v>
      </c>
      <c r="C118" s="113">
        <v>3.5</v>
      </c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</row>
    <row r="119" spans="1:16" s="44" customFormat="1" ht="15" customHeight="1">
      <c r="A119" s="113" t="s">
        <v>60</v>
      </c>
      <c r="B119" s="113" t="s">
        <v>11</v>
      </c>
      <c r="C119" s="113">
        <v>3</v>
      </c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</row>
    <row r="120" spans="1:16" s="44" customFormat="1" ht="15" customHeight="1">
      <c r="A120" s="113" t="s">
        <v>61</v>
      </c>
      <c r="B120" s="113" t="s">
        <v>13</v>
      </c>
      <c r="C120" s="113">
        <v>2</v>
      </c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</row>
    <row r="121" spans="1:16" s="44" customFormat="1" ht="15" customHeight="1">
      <c r="A121" s="113" t="s">
        <v>62</v>
      </c>
      <c r="B121" s="113" t="s">
        <v>15</v>
      </c>
      <c r="C121" s="113">
        <v>1</v>
      </c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</row>
    <row r="122" spans="1:16" s="44" customFormat="1" ht="15" customHeight="1">
      <c r="A122" s="113" t="s">
        <v>17</v>
      </c>
      <c r="B122" s="113" t="s">
        <v>18</v>
      </c>
      <c r="C122" s="113">
        <v>0</v>
      </c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</row>
  </sheetData>
  <mergeCells count="8">
    <mergeCell ref="A115:D115"/>
    <mergeCell ref="K1:M1"/>
    <mergeCell ref="K4:M4"/>
    <mergeCell ref="C6:J7"/>
    <mergeCell ref="A10:B11"/>
    <mergeCell ref="D10:E11"/>
    <mergeCell ref="F10:F11"/>
    <mergeCell ref="G10:I11"/>
  </mergeCells>
  <conditionalFormatting sqref="M14:M112">
    <cfRule type="cellIs" dxfId="6" priority="2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topLeftCell="A30" zoomScale="85" zoomScaleNormal="85" workbookViewId="0">
      <selection activeCell="F14" sqref="F14"/>
    </sheetView>
  </sheetViews>
  <sheetFormatPr defaultColWidth="8.7109375" defaultRowHeight="15" customHeight="1"/>
  <cols>
    <col min="1" max="1" width="6.85546875" style="1" customWidth="1"/>
    <col min="2" max="2" width="30.7109375" style="1" customWidth="1"/>
    <col min="3" max="11" width="15.7109375" style="1" customWidth="1"/>
    <col min="12" max="12" width="10" style="1" hidden="1" customWidth="1"/>
    <col min="13" max="13" width="13" style="1" hidden="1" customWidth="1"/>
  </cols>
  <sheetData>
    <row r="1" spans="1:16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119"/>
      <c r="J1" s="119"/>
      <c r="K1" s="119"/>
    </row>
    <row r="2" spans="1:16" ht="8.25" hidden="1" customHeight="1">
      <c r="A2" s="2"/>
      <c r="B2" s="2" t="s">
        <v>64</v>
      </c>
      <c r="C2" s="2"/>
      <c r="D2" s="2"/>
      <c r="E2" s="2"/>
      <c r="F2" s="2"/>
      <c r="G2" s="2"/>
      <c r="H2" s="2"/>
      <c r="I2" s="3"/>
      <c r="J2" s="4"/>
      <c r="K2" s="5"/>
    </row>
    <row r="3" spans="1:16" ht="24" customHeight="1">
      <c r="A3" s="2"/>
      <c r="B3" s="2"/>
      <c r="C3" s="2"/>
      <c r="D3" s="2"/>
      <c r="E3" s="2"/>
      <c r="F3" s="2"/>
      <c r="G3" s="2"/>
      <c r="H3" s="2"/>
      <c r="I3" s="4"/>
      <c r="J3" s="4"/>
      <c r="K3" s="4"/>
    </row>
    <row r="4" spans="1:16" ht="24" customHeight="1">
      <c r="A4" s="2"/>
      <c r="B4" s="2"/>
      <c r="C4" s="2"/>
      <c r="D4" s="2"/>
      <c r="E4" s="2"/>
      <c r="F4" s="2"/>
      <c r="G4" s="2"/>
      <c r="H4" s="2"/>
      <c r="I4" s="120" t="s">
        <v>2</v>
      </c>
      <c r="J4" s="120"/>
      <c r="K4" s="120"/>
    </row>
    <row r="5" spans="1:16" ht="24" customHeight="1">
      <c r="A5" s="2"/>
      <c r="B5" s="2"/>
      <c r="C5" s="2"/>
      <c r="D5" s="2"/>
      <c r="E5" s="2"/>
      <c r="F5" s="2"/>
      <c r="G5" s="2"/>
      <c r="H5" s="2"/>
      <c r="I5" s="6" t="s">
        <v>3</v>
      </c>
      <c r="J5" s="6" t="s">
        <v>4</v>
      </c>
      <c r="K5" s="6">
        <v>5</v>
      </c>
    </row>
    <row r="6" spans="1:16" ht="24" customHeight="1">
      <c r="A6" s="2"/>
      <c r="B6" s="218" t="s">
        <v>204</v>
      </c>
      <c r="C6" s="218"/>
      <c r="D6" s="218"/>
      <c r="E6" s="218"/>
      <c r="F6" s="218"/>
      <c r="G6" s="218"/>
      <c r="H6" s="218"/>
      <c r="I6" s="8" t="s">
        <v>6</v>
      </c>
      <c r="J6" s="9" t="s">
        <v>7</v>
      </c>
      <c r="K6" s="10">
        <v>4</v>
      </c>
    </row>
    <row r="7" spans="1:16" ht="24" customHeight="1">
      <c r="A7" s="2"/>
      <c r="B7" s="218"/>
      <c r="C7" s="218"/>
      <c r="D7" s="218"/>
      <c r="E7" s="218"/>
      <c r="F7" s="218"/>
      <c r="G7" s="218"/>
      <c r="H7" s="218"/>
      <c r="I7" s="11" t="s">
        <v>8</v>
      </c>
      <c r="J7" s="6" t="s">
        <v>9</v>
      </c>
      <c r="K7" s="12">
        <v>3.5</v>
      </c>
    </row>
    <row r="8" spans="1:16" ht="24" customHeight="1">
      <c r="A8" s="2"/>
      <c r="B8" s="2"/>
      <c r="C8" s="2"/>
      <c r="D8" s="2"/>
      <c r="E8" s="2"/>
      <c r="F8" s="2"/>
      <c r="G8" s="2"/>
      <c r="H8" s="2"/>
      <c r="I8" s="11" t="s">
        <v>10</v>
      </c>
      <c r="J8" s="6" t="s">
        <v>11</v>
      </c>
      <c r="K8" s="12">
        <v>3</v>
      </c>
    </row>
    <row r="9" spans="1:16" ht="24" customHeight="1">
      <c r="A9" s="2"/>
      <c r="B9" s="2"/>
      <c r="C9" s="2"/>
      <c r="D9" s="2"/>
      <c r="E9" s="2"/>
      <c r="F9" s="2"/>
      <c r="G9" s="2"/>
      <c r="H9" s="2"/>
      <c r="I9" s="11" t="s">
        <v>12</v>
      </c>
      <c r="J9" s="6" t="s">
        <v>13</v>
      </c>
      <c r="K9" s="12">
        <v>2</v>
      </c>
    </row>
    <row r="10" spans="1:16" ht="24" customHeight="1">
      <c r="A10" s="122"/>
      <c r="B10" s="122"/>
      <c r="C10" s="13"/>
      <c r="D10" s="123"/>
      <c r="E10" s="123"/>
      <c r="F10" s="123"/>
      <c r="G10" s="125"/>
      <c r="H10" s="14"/>
      <c r="I10" s="11" t="s">
        <v>14</v>
      </c>
      <c r="J10" s="6" t="s">
        <v>15</v>
      </c>
      <c r="K10" s="12">
        <v>1</v>
      </c>
      <c r="N10" t="s">
        <v>16</v>
      </c>
    </row>
    <row r="11" spans="1:16" ht="24" customHeight="1">
      <c r="A11" s="122"/>
      <c r="B11" s="122"/>
      <c r="C11" s="13"/>
      <c r="D11" s="123"/>
      <c r="E11" s="123"/>
      <c r="F11" s="123"/>
      <c r="G11" s="125"/>
      <c r="H11" s="14"/>
      <c r="I11" s="15" t="s">
        <v>17</v>
      </c>
      <c r="J11" s="16" t="s">
        <v>18</v>
      </c>
      <c r="K11" s="17">
        <v>0</v>
      </c>
    </row>
    <row r="12" spans="1:16" ht="6.75" customHeight="1">
      <c r="A12" s="18"/>
      <c r="B12" s="18"/>
      <c r="C12" s="18"/>
      <c r="D12" s="18"/>
      <c r="E12" s="18"/>
      <c r="F12" s="18"/>
      <c r="G12" s="18"/>
      <c r="H12" s="18"/>
    </row>
    <row r="13" spans="1:16" s="41" customFormat="1" ht="60.75" customHeight="1">
      <c r="A13" s="207" t="s">
        <v>19</v>
      </c>
      <c r="B13" s="140" t="s">
        <v>20</v>
      </c>
      <c r="C13" s="197" t="s">
        <v>144</v>
      </c>
      <c r="D13" s="198" t="s">
        <v>145</v>
      </c>
      <c r="E13" s="197" t="s">
        <v>146</v>
      </c>
      <c r="F13" s="198" t="s">
        <v>147</v>
      </c>
      <c r="G13" s="198" t="s">
        <v>29</v>
      </c>
      <c r="H13" s="197" t="s">
        <v>30</v>
      </c>
      <c r="I13" s="198" t="s">
        <v>31</v>
      </c>
      <c r="J13" s="197" t="s">
        <v>32</v>
      </c>
      <c r="K13" s="208" t="s">
        <v>33</v>
      </c>
    </row>
    <row r="14" spans="1:16" s="44" customFormat="1" ht="30" customHeight="1">
      <c r="A14" s="144">
        <v>1</v>
      </c>
      <c r="B14" s="138" t="s">
        <v>202</v>
      </c>
      <c r="C14" s="145">
        <v>75</v>
      </c>
      <c r="D14" s="209">
        <v>88</v>
      </c>
      <c r="E14" s="209">
        <v>91</v>
      </c>
      <c r="F14" s="209">
        <v>90</v>
      </c>
      <c r="G14" s="209">
        <f t="shared" ref="G14:G45" si="0">IF($B14="","",IF(COUNT(C14:F14)=0,"",SUM(C14:F14)))</f>
        <v>344</v>
      </c>
      <c r="H14" s="210">
        <f t="shared" ref="H14:H45" si="1">IF($B14="","",IF(COUNT(C14:F14)=0,"",ROUND(SUM(C14:F14)/COLUMNS(C14:F14),2)))</f>
        <v>86</v>
      </c>
      <c r="I14" s="114">
        <f t="shared" ref="I14:I45" si="2">IF($B14="","",IF(COUNT(C14:F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)/COLUMNS(C14:F14),2)))</f>
        <v>4.75</v>
      </c>
      <c r="J14" s="22" t="str">
        <f t="shared" ref="J14:J45" si="3">IF($B14="","",IF(I14="","",IF(I14=0,"F",IF(I14=5,"A+",IF(I14&gt;=4,"A",IF(I14&gt;=3.5,"A-",IF(I14&gt;=3,"B",IF(I14&gt;=2,"C",IF(I14&gt;=1,"D","F")))))))))</f>
        <v>A</v>
      </c>
      <c r="K14" s="211">
        <f t="shared" ref="K14:K45" si="4">IF($B14="","",IF($L14="","",IF($L14=1,"1g",IF($L14=2,"2q",IF($L14=3,"3q",$L14)))))</f>
        <v>6</v>
      </c>
      <c r="L14" s="42">
        <f t="shared" ref="L14:L45" si="5">IF($B14="","",IF(OR($J14="ফেল",$J14="অনুপস্থিত",$J14="অসম্পূর্ণ"),"",1+SUMPRODUCT(($M$14:$M$63&lt;&gt;"")*($M$14:$M$63&gt;M14)/COUNTIF($M$14:$M$63,$M$14:$M$63))))</f>
        <v>6</v>
      </c>
      <c r="M14" s="43">
        <f t="shared" ref="M14:M45" si="6">IF($B14="","",H14)</f>
        <v>86</v>
      </c>
      <c r="N14" s="101"/>
      <c r="O14" s="101"/>
      <c r="P14" s="101"/>
    </row>
    <row r="15" spans="1:16" s="44" customFormat="1" ht="30" customHeight="1">
      <c r="A15" s="144">
        <v>2</v>
      </c>
      <c r="B15" s="138" t="s">
        <v>148</v>
      </c>
      <c r="C15" s="145">
        <v>80</v>
      </c>
      <c r="D15" s="209">
        <v>90</v>
      </c>
      <c r="E15" s="209">
        <v>88</v>
      </c>
      <c r="F15" s="209">
        <v>85</v>
      </c>
      <c r="G15" s="209">
        <f t="shared" si="0"/>
        <v>343</v>
      </c>
      <c r="H15" s="210">
        <f t="shared" si="1"/>
        <v>85.75</v>
      </c>
      <c r="I15" s="114">
        <f t="shared" si="2"/>
        <v>5</v>
      </c>
      <c r="J15" s="22" t="str">
        <f t="shared" si="3"/>
        <v>A+</v>
      </c>
      <c r="K15" s="211">
        <f t="shared" si="4"/>
        <v>7</v>
      </c>
      <c r="L15" s="42">
        <f t="shared" si="5"/>
        <v>7</v>
      </c>
      <c r="M15" s="43">
        <f t="shared" si="6"/>
        <v>85.75</v>
      </c>
      <c r="N15" s="101"/>
      <c r="O15" s="101"/>
      <c r="P15" s="101"/>
    </row>
    <row r="16" spans="1:16" s="44" customFormat="1" ht="30" customHeight="1">
      <c r="A16" s="144">
        <v>3</v>
      </c>
      <c r="B16" s="138" t="s">
        <v>149</v>
      </c>
      <c r="C16" s="145">
        <v>84</v>
      </c>
      <c r="D16" s="209">
        <v>84</v>
      </c>
      <c r="E16" s="209">
        <v>92</v>
      </c>
      <c r="F16" s="209">
        <v>88</v>
      </c>
      <c r="G16" s="209">
        <f t="shared" si="0"/>
        <v>348</v>
      </c>
      <c r="H16" s="210">
        <f t="shared" si="1"/>
        <v>87</v>
      </c>
      <c r="I16" s="114">
        <f t="shared" si="2"/>
        <v>5</v>
      </c>
      <c r="J16" s="22" t="str">
        <f t="shared" si="3"/>
        <v>A+</v>
      </c>
      <c r="K16" s="211">
        <f t="shared" si="4"/>
        <v>4</v>
      </c>
      <c r="L16" s="42">
        <f t="shared" si="5"/>
        <v>4</v>
      </c>
      <c r="M16" s="43">
        <f t="shared" si="6"/>
        <v>87</v>
      </c>
      <c r="N16" s="101"/>
      <c r="O16" s="101"/>
      <c r="P16" s="101"/>
    </row>
    <row r="17" spans="1:16" s="44" customFormat="1" ht="30" customHeight="1">
      <c r="A17" s="144">
        <v>4</v>
      </c>
      <c r="B17" s="138" t="s">
        <v>150</v>
      </c>
      <c r="C17" s="145">
        <v>82</v>
      </c>
      <c r="D17" s="209">
        <v>95</v>
      </c>
      <c r="E17" s="209">
        <v>94</v>
      </c>
      <c r="F17" s="209">
        <v>90</v>
      </c>
      <c r="G17" s="209">
        <f t="shared" si="0"/>
        <v>361</v>
      </c>
      <c r="H17" s="210">
        <f t="shared" si="1"/>
        <v>90.25</v>
      </c>
      <c r="I17" s="114">
        <f t="shared" si="2"/>
        <v>5</v>
      </c>
      <c r="J17" s="22" t="str">
        <f t="shared" si="3"/>
        <v>A+</v>
      </c>
      <c r="K17" s="211" t="str">
        <f t="shared" si="4"/>
        <v>1g</v>
      </c>
      <c r="L17" s="42">
        <f t="shared" si="5"/>
        <v>1</v>
      </c>
      <c r="M17" s="43">
        <f t="shared" si="6"/>
        <v>90.25</v>
      </c>
      <c r="N17" s="101"/>
      <c r="O17" s="101"/>
      <c r="P17" s="101"/>
    </row>
    <row r="18" spans="1:16" s="44" customFormat="1" ht="30" customHeight="1">
      <c r="A18" s="144">
        <v>5</v>
      </c>
      <c r="B18" s="138" t="s">
        <v>151</v>
      </c>
      <c r="C18" s="145">
        <v>80</v>
      </c>
      <c r="D18" s="209">
        <v>94</v>
      </c>
      <c r="E18" s="209">
        <v>92</v>
      </c>
      <c r="F18" s="209">
        <v>84</v>
      </c>
      <c r="G18" s="209">
        <f t="shared" si="0"/>
        <v>350</v>
      </c>
      <c r="H18" s="210">
        <f t="shared" si="1"/>
        <v>87.5</v>
      </c>
      <c r="I18" s="114">
        <f t="shared" si="2"/>
        <v>5</v>
      </c>
      <c r="J18" s="22" t="str">
        <f t="shared" si="3"/>
        <v>A+</v>
      </c>
      <c r="K18" s="211" t="str">
        <f t="shared" si="4"/>
        <v>2q</v>
      </c>
      <c r="L18" s="42">
        <f t="shared" si="5"/>
        <v>2</v>
      </c>
      <c r="M18" s="43">
        <f t="shared" si="6"/>
        <v>87.5</v>
      </c>
      <c r="N18" s="101"/>
      <c r="O18" s="101"/>
      <c r="P18" s="101"/>
    </row>
    <row r="19" spans="1:16" s="44" customFormat="1" ht="30" customHeight="1">
      <c r="A19" s="144">
        <v>6</v>
      </c>
      <c r="B19" s="138" t="s">
        <v>152</v>
      </c>
      <c r="C19" s="145">
        <v>78</v>
      </c>
      <c r="D19" s="209">
        <v>91</v>
      </c>
      <c r="E19" s="209">
        <v>88</v>
      </c>
      <c r="F19" s="209">
        <v>80</v>
      </c>
      <c r="G19" s="209">
        <f t="shared" si="0"/>
        <v>337</v>
      </c>
      <c r="H19" s="210">
        <f t="shared" si="1"/>
        <v>84.25</v>
      </c>
      <c r="I19" s="114">
        <f t="shared" si="2"/>
        <v>4.75</v>
      </c>
      <c r="J19" s="22" t="str">
        <f t="shared" si="3"/>
        <v>A</v>
      </c>
      <c r="K19" s="211">
        <f t="shared" si="4"/>
        <v>10</v>
      </c>
      <c r="L19" s="42">
        <f t="shared" si="5"/>
        <v>10</v>
      </c>
      <c r="M19" s="43">
        <f t="shared" si="6"/>
        <v>84.25</v>
      </c>
      <c r="N19" s="101"/>
      <c r="O19" s="101"/>
      <c r="P19" s="101"/>
    </row>
    <row r="20" spans="1:16" s="44" customFormat="1" ht="30" customHeight="1">
      <c r="A20" s="144">
        <v>7</v>
      </c>
      <c r="B20" s="138" t="s">
        <v>153</v>
      </c>
      <c r="C20" s="145">
        <v>75</v>
      </c>
      <c r="D20" s="209">
        <v>91</v>
      </c>
      <c r="E20" s="209">
        <v>86</v>
      </c>
      <c r="F20" s="209">
        <v>90</v>
      </c>
      <c r="G20" s="209">
        <f t="shared" si="0"/>
        <v>342</v>
      </c>
      <c r="H20" s="210">
        <f t="shared" si="1"/>
        <v>85.5</v>
      </c>
      <c r="I20" s="114">
        <f t="shared" si="2"/>
        <v>4.75</v>
      </c>
      <c r="J20" s="22" t="str">
        <f t="shared" si="3"/>
        <v>A</v>
      </c>
      <c r="K20" s="211">
        <f t="shared" si="4"/>
        <v>8</v>
      </c>
      <c r="L20" s="42">
        <f t="shared" si="5"/>
        <v>8</v>
      </c>
      <c r="M20" s="43">
        <f t="shared" si="6"/>
        <v>85.5</v>
      </c>
      <c r="N20" s="101"/>
      <c r="O20" s="101"/>
      <c r="P20" s="101"/>
    </row>
    <row r="21" spans="1:16" s="44" customFormat="1" ht="30" customHeight="1">
      <c r="A21" s="144">
        <v>8</v>
      </c>
      <c r="B21" s="138" t="s">
        <v>154</v>
      </c>
      <c r="C21" s="145">
        <v>60</v>
      </c>
      <c r="D21" s="209">
        <v>91</v>
      </c>
      <c r="E21" s="209">
        <v>75</v>
      </c>
      <c r="F21" s="209">
        <v>75</v>
      </c>
      <c r="G21" s="209">
        <f t="shared" si="0"/>
        <v>301</v>
      </c>
      <c r="H21" s="210">
        <f t="shared" si="1"/>
        <v>75.25</v>
      </c>
      <c r="I21" s="114">
        <f t="shared" si="2"/>
        <v>4.13</v>
      </c>
      <c r="J21" s="22" t="str">
        <f t="shared" si="3"/>
        <v>A</v>
      </c>
      <c r="K21" s="211">
        <f t="shared" si="4"/>
        <v>16</v>
      </c>
      <c r="L21" s="42">
        <f t="shared" si="5"/>
        <v>16</v>
      </c>
      <c r="M21" s="43">
        <f t="shared" si="6"/>
        <v>75.25</v>
      </c>
      <c r="N21" s="101"/>
      <c r="O21" s="101"/>
      <c r="P21" s="101"/>
    </row>
    <row r="22" spans="1:16" s="44" customFormat="1" ht="30" customHeight="1">
      <c r="A22" s="144">
        <v>9</v>
      </c>
      <c r="B22" s="138" t="s">
        <v>155</v>
      </c>
      <c r="C22" s="145">
        <v>78</v>
      </c>
      <c r="D22" s="209">
        <v>92</v>
      </c>
      <c r="E22" s="209">
        <v>90</v>
      </c>
      <c r="F22" s="209">
        <v>86</v>
      </c>
      <c r="G22" s="209">
        <f t="shared" si="0"/>
        <v>346</v>
      </c>
      <c r="H22" s="210">
        <f t="shared" si="1"/>
        <v>86.5</v>
      </c>
      <c r="I22" s="114">
        <f t="shared" si="2"/>
        <v>4.75</v>
      </c>
      <c r="J22" s="22" t="str">
        <f t="shared" si="3"/>
        <v>A</v>
      </c>
      <c r="K22" s="211">
        <f t="shared" si="4"/>
        <v>5</v>
      </c>
      <c r="L22" s="42">
        <f t="shared" si="5"/>
        <v>5</v>
      </c>
      <c r="M22" s="43">
        <f t="shared" si="6"/>
        <v>86.5</v>
      </c>
      <c r="N22" s="101"/>
      <c r="O22" s="101"/>
      <c r="P22" s="101"/>
    </row>
    <row r="23" spans="1:16" s="44" customFormat="1" ht="30" customHeight="1">
      <c r="A23" s="144">
        <v>10</v>
      </c>
      <c r="B23" s="138" t="s">
        <v>156</v>
      </c>
      <c r="C23" s="145"/>
      <c r="D23" s="209"/>
      <c r="E23" s="209"/>
      <c r="F23" s="209"/>
      <c r="G23" s="209" t="str">
        <f t="shared" si="0"/>
        <v/>
      </c>
      <c r="H23" s="210" t="str">
        <f t="shared" si="1"/>
        <v/>
      </c>
      <c r="I23" s="114" t="str">
        <f t="shared" si="2"/>
        <v/>
      </c>
      <c r="J23" s="22" t="str">
        <f t="shared" si="3"/>
        <v/>
      </c>
      <c r="K23" s="211" t="str">
        <f t="shared" si="4"/>
        <v>1g</v>
      </c>
      <c r="L23" s="42">
        <f t="shared" si="5"/>
        <v>1</v>
      </c>
      <c r="M23" s="43" t="str">
        <f t="shared" si="6"/>
        <v/>
      </c>
      <c r="N23" s="101"/>
      <c r="O23" s="101"/>
      <c r="P23" s="101"/>
    </row>
    <row r="24" spans="1:16" s="44" customFormat="1" ht="30" customHeight="1">
      <c r="A24" s="144">
        <v>11</v>
      </c>
      <c r="B24" s="138" t="s">
        <v>157</v>
      </c>
      <c r="C24" s="145">
        <v>70</v>
      </c>
      <c r="D24" s="209">
        <v>85</v>
      </c>
      <c r="E24" s="209">
        <v>75</v>
      </c>
      <c r="F24" s="209">
        <v>70</v>
      </c>
      <c r="G24" s="209">
        <f t="shared" si="0"/>
        <v>300</v>
      </c>
      <c r="H24" s="210">
        <f t="shared" si="1"/>
        <v>75</v>
      </c>
      <c r="I24" s="114">
        <f t="shared" si="2"/>
        <v>4.25</v>
      </c>
      <c r="J24" s="22" t="str">
        <f t="shared" si="3"/>
        <v>A</v>
      </c>
      <c r="K24" s="211">
        <f t="shared" si="4"/>
        <v>17</v>
      </c>
      <c r="L24" s="42">
        <f t="shared" si="5"/>
        <v>17</v>
      </c>
      <c r="M24" s="43">
        <f t="shared" si="6"/>
        <v>75</v>
      </c>
      <c r="N24" s="101"/>
      <c r="O24" s="101"/>
      <c r="P24" s="101"/>
    </row>
    <row r="25" spans="1:16" s="44" customFormat="1" ht="30" customHeight="1">
      <c r="A25" s="144">
        <v>12</v>
      </c>
      <c r="B25" s="138" t="s">
        <v>158</v>
      </c>
      <c r="C25" s="145">
        <v>80</v>
      </c>
      <c r="D25" s="209">
        <v>86</v>
      </c>
      <c r="E25" s="209">
        <v>88</v>
      </c>
      <c r="F25" s="209">
        <v>87</v>
      </c>
      <c r="G25" s="209">
        <f t="shared" si="0"/>
        <v>341</v>
      </c>
      <c r="H25" s="210">
        <f t="shared" si="1"/>
        <v>85.25</v>
      </c>
      <c r="I25" s="114">
        <f t="shared" si="2"/>
        <v>5</v>
      </c>
      <c r="J25" s="22" t="str">
        <f t="shared" si="3"/>
        <v>A+</v>
      </c>
      <c r="K25" s="211">
        <f t="shared" si="4"/>
        <v>9</v>
      </c>
      <c r="L25" s="42">
        <f t="shared" si="5"/>
        <v>9</v>
      </c>
      <c r="M25" s="43">
        <f t="shared" si="6"/>
        <v>85.25</v>
      </c>
      <c r="N25" s="101"/>
      <c r="O25" s="101"/>
      <c r="P25" s="101"/>
    </row>
    <row r="26" spans="1:16" s="44" customFormat="1" ht="30" customHeight="1">
      <c r="A26" s="144">
        <v>13</v>
      </c>
      <c r="B26" s="138" t="s">
        <v>159</v>
      </c>
      <c r="C26" s="145"/>
      <c r="D26" s="209"/>
      <c r="E26" s="209"/>
      <c r="F26" s="209"/>
      <c r="G26" s="209" t="str">
        <f t="shared" si="0"/>
        <v/>
      </c>
      <c r="H26" s="210" t="str">
        <f t="shared" si="1"/>
        <v/>
      </c>
      <c r="I26" s="114" t="str">
        <f t="shared" si="2"/>
        <v/>
      </c>
      <c r="J26" s="22" t="str">
        <f t="shared" si="3"/>
        <v/>
      </c>
      <c r="K26" s="211" t="str">
        <f t="shared" si="4"/>
        <v>1g</v>
      </c>
      <c r="L26" s="42">
        <f t="shared" si="5"/>
        <v>1</v>
      </c>
      <c r="M26" s="43" t="str">
        <f t="shared" si="6"/>
        <v/>
      </c>
      <c r="N26" s="101"/>
      <c r="O26" s="101"/>
      <c r="P26" s="101"/>
    </row>
    <row r="27" spans="1:16" s="44" customFormat="1" ht="30" customHeight="1">
      <c r="A27" s="144">
        <v>14</v>
      </c>
      <c r="B27" s="206" t="s">
        <v>160</v>
      </c>
      <c r="C27" s="145">
        <v>82</v>
      </c>
      <c r="D27" s="209">
        <v>90</v>
      </c>
      <c r="E27" s="209">
        <v>95</v>
      </c>
      <c r="F27" s="209">
        <v>82</v>
      </c>
      <c r="G27" s="209">
        <f t="shared" si="0"/>
        <v>349</v>
      </c>
      <c r="H27" s="210">
        <f t="shared" si="1"/>
        <v>87.25</v>
      </c>
      <c r="I27" s="114">
        <f t="shared" si="2"/>
        <v>5</v>
      </c>
      <c r="J27" s="22" t="str">
        <f t="shared" si="3"/>
        <v>A+</v>
      </c>
      <c r="K27" s="211" t="str">
        <f t="shared" si="4"/>
        <v>3q</v>
      </c>
      <c r="L27" s="42">
        <f t="shared" si="5"/>
        <v>3</v>
      </c>
      <c r="M27" s="43">
        <f t="shared" si="6"/>
        <v>87.25</v>
      </c>
      <c r="N27" s="101"/>
      <c r="O27" s="101"/>
      <c r="P27" s="101"/>
    </row>
    <row r="28" spans="1:16" s="44" customFormat="1" ht="30" customHeight="1">
      <c r="A28" s="144">
        <v>15</v>
      </c>
      <c r="B28" s="138" t="s">
        <v>161</v>
      </c>
      <c r="C28" s="145">
        <v>75</v>
      </c>
      <c r="D28" s="209">
        <v>78</v>
      </c>
      <c r="E28" s="209">
        <v>84</v>
      </c>
      <c r="F28" s="209">
        <v>70</v>
      </c>
      <c r="G28" s="209">
        <f t="shared" si="0"/>
        <v>307</v>
      </c>
      <c r="H28" s="210">
        <f t="shared" si="1"/>
        <v>76.75</v>
      </c>
      <c r="I28" s="114">
        <f t="shared" si="2"/>
        <v>4.25</v>
      </c>
      <c r="J28" s="22" t="str">
        <f t="shared" si="3"/>
        <v>A</v>
      </c>
      <c r="K28" s="211">
        <f t="shared" si="4"/>
        <v>14</v>
      </c>
      <c r="L28" s="42">
        <f t="shared" si="5"/>
        <v>14</v>
      </c>
      <c r="M28" s="43">
        <f t="shared" si="6"/>
        <v>76.75</v>
      </c>
      <c r="N28" s="101"/>
      <c r="O28" s="101"/>
      <c r="P28" s="101"/>
    </row>
    <row r="29" spans="1:16" s="44" customFormat="1" ht="30" customHeight="1">
      <c r="A29" s="144">
        <v>16</v>
      </c>
      <c r="B29" s="138" t="s">
        <v>162</v>
      </c>
      <c r="C29" s="145">
        <v>60</v>
      </c>
      <c r="D29" s="209">
        <v>65</v>
      </c>
      <c r="E29" s="209">
        <v>77</v>
      </c>
      <c r="F29" s="209">
        <v>80</v>
      </c>
      <c r="G29" s="209">
        <f t="shared" si="0"/>
        <v>282</v>
      </c>
      <c r="H29" s="210">
        <f t="shared" si="1"/>
        <v>70.5</v>
      </c>
      <c r="I29" s="114">
        <f t="shared" si="2"/>
        <v>4</v>
      </c>
      <c r="J29" s="22" t="str">
        <f t="shared" si="3"/>
        <v>A</v>
      </c>
      <c r="K29" s="211">
        <f t="shared" si="4"/>
        <v>20</v>
      </c>
      <c r="L29" s="42">
        <f t="shared" si="5"/>
        <v>20</v>
      </c>
      <c r="M29" s="43">
        <f t="shared" si="6"/>
        <v>70.5</v>
      </c>
      <c r="N29" s="101"/>
      <c r="O29" s="101"/>
      <c r="P29" s="101"/>
    </row>
    <row r="30" spans="1:16" s="44" customFormat="1" ht="30" customHeight="1">
      <c r="A30" s="144">
        <v>17</v>
      </c>
      <c r="B30" s="138" t="s">
        <v>163</v>
      </c>
      <c r="C30" s="145">
        <v>55</v>
      </c>
      <c r="D30" s="209">
        <v>94</v>
      </c>
      <c r="E30" s="209">
        <v>80</v>
      </c>
      <c r="F30" s="209">
        <v>85</v>
      </c>
      <c r="G30" s="209">
        <f t="shared" si="0"/>
        <v>314</v>
      </c>
      <c r="H30" s="210">
        <f t="shared" si="1"/>
        <v>78.5</v>
      </c>
      <c r="I30" s="114">
        <f t="shared" si="2"/>
        <v>4.5</v>
      </c>
      <c r="J30" s="22" t="str">
        <f t="shared" si="3"/>
        <v>A</v>
      </c>
      <c r="K30" s="211">
        <f t="shared" si="4"/>
        <v>13</v>
      </c>
      <c r="L30" s="42">
        <f t="shared" si="5"/>
        <v>13</v>
      </c>
      <c r="M30" s="43">
        <f t="shared" si="6"/>
        <v>78.5</v>
      </c>
      <c r="N30" s="101"/>
      <c r="O30" s="101"/>
      <c r="P30" s="101"/>
    </row>
    <row r="31" spans="1:16" s="44" customFormat="1" ht="30" customHeight="1">
      <c r="A31" s="144">
        <v>18</v>
      </c>
      <c r="B31" s="138" t="s">
        <v>164</v>
      </c>
      <c r="C31" s="145">
        <v>40</v>
      </c>
      <c r="D31" s="209">
        <v>90</v>
      </c>
      <c r="E31" s="209">
        <v>65</v>
      </c>
      <c r="F31" s="209">
        <v>68</v>
      </c>
      <c r="G31" s="209">
        <f t="shared" si="0"/>
        <v>263</v>
      </c>
      <c r="H31" s="210">
        <f t="shared" si="1"/>
        <v>65.75</v>
      </c>
      <c r="I31" s="114">
        <f t="shared" si="2"/>
        <v>3.5</v>
      </c>
      <c r="J31" s="22" t="str">
        <f t="shared" si="3"/>
        <v>A-</v>
      </c>
      <c r="K31" s="211">
        <f t="shared" si="4"/>
        <v>24</v>
      </c>
      <c r="L31" s="42">
        <f t="shared" si="5"/>
        <v>24</v>
      </c>
      <c r="M31" s="43">
        <f t="shared" si="6"/>
        <v>65.75</v>
      </c>
      <c r="N31" s="101"/>
      <c r="O31" s="101"/>
      <c r="P31" s="101"/>
    </row>
    <row r="32" spans="1:16" s="44" customFormat="1" ht="30" customHeight="1">
      <c r="A32" s="144">
        <v>19</v>
      </c>
      <c r="B32" s="138" t="s">
        <v>165</v>
      </c>
      <c r="C32" s="145">
        <v>48</v>
      </c>
      <c r="D32" s="209">
        <v>92</v>
      </c>
      <c r="E32" s="209">
        <v>84</v>
      </c>
      <c r="F32" s="209">
        <v>77</v>
      </c>
      <c r="G32" s="209">
        <f t="shared" si="0"/>
        <v>301</v>
      </c>
      <c r="H32" s="210">
        <f t="shared" si="1"/>
        <v>75.25</v>
      </c>
      <c r="I32" s="114">
        <f t="shared" si="2"/>
        <v>4</v>
      </c>
      <c r="J32" s="22" t="str">
        <f t="shared" si="3"/>
        <v>A</v>
      </c>
      <c r="K32" s="211">
        <f t="shared" si="4"/>
        <v>16</v>
      </c>
      <c r="L32" s="42">
        <f t="shared" si="5"/>
        <v>16</v>
      </c>
      <c r="M32" s="43">
        <f t="shared" si="6"/>
        <v>75.25</v>
      </c>
      <c r="N32" s="101"/>
      <c r="O32" s="101"/>
      <c r="P32" s="101"/>
    </row>
    <row r="33" spans="1:16" s="44" customFormat="1" ht="30" customHeight="1">
      <c r="A33" s="144">
        <v>20</v>
      </c>
      <c r="B33" s="138" t="s">
        <v>166</v>
      </c>
      <c r="C33" s="145">
        <v>50</v>
      </c>
      <c r="D33" s="209">
        <v>93</v>
      </c>
      <c r="E33" s="209">
        <v>86</v>
      </c>
      <c r="F33" s="209">
        <v>74</v>
      </c>
      <c r="G33" s="209">
        <f t="shared" si="0"/>
        <v>303</v>
      </c>
      <c r="H33" s="210">
        <f t="shared" si="1"/>
        <v>75.75</v>
      </c>
      <c r="I33" s="114">
        <f t="shared" si="2"/>
        <v>4.25</v>
      </c>
      <c r="J33" s="22" t="str">
        <f t="shared" si="3"/>
        <v>A</v>
      </c>
      <c r="K33" s="211">
        <f t="shared" si="4"/>
        <v>15</v>
      </c>
      <c r="L33" s="42">
        <f t="shared" si="5"/>
        <v>15</v>
      </c>
      <c r="M33" s="43">
        <f t="shared" si="6"/>
        <v>75.75</v>
      </c>
      <c r="N33" s="101"/>
      <c r="O33" s="101"/>
      <c r="P33" s="101"/>
    </row>
    <row r="34" spans="1:16" s="44" customFormat="1" ht="30" customHeight="1">
      <c r="A34" s="144">
        <v>21</v>
      </c>
      <c r="B34" s="138" t="s">
        <v>167</v>
      </c>
      <c r="C34" s="145">
        <v>48</v>
      </c>
      <c r="D34" s="209">
        <v>80</v>
      </c>
      <c r="E34" s="209">
        <v>70</v>
      </c>
      <c r="F34" s="209">
        <v>72</v>
      </c>
      <c r="G34" s="209">
        <f t="shared" si="0"/>
        <v>270</v>
      </c>
      <c r="H34" s="210">
        <f t="shared" si="1"/>
        <v>67.5</v>
      </c>
      <c r="I34" s="114">
        <f t="shared" si="2"/>
        <v>3.75</v>
      </c>
      <c r="J34" s="22" t="str">
        <f t="shared" si="3"/>
        <v>A-</v>
      </c>
      <c r="K34" s="211">
        <f t="shared" si="4"/>
        <v>23</v>
      </c>
      <c r="L34" s="42">
        <f t="shared" si="5"/>
        <v>23</v>
      </c>
      <c r="M34" s="43">
        <f t="shared" si="6"/>
        <v>67.5</v>
      </c>
      <c r="N34" s="101"/>
      <c r="O34" s="101"/>
      <c r="P34" s="101"/>
    </row>
    <row r="35" spans="1:16" s="44" customFormat="1" ht="30" customHeight="1">
      <c r="A35" s="144">
        <v>22</v>
      </c>
      <c r="B35" s="138" t="s">
        <v>168</v>
      </c>
      <c r="C35" s="145">
        <v>68</v>
      </c>
      <c r="D35" s="209">
        <v>84</v>
      </c>
      <c r="E35" s="209">
        <v>87</v>
      </c>
      <c r="F35" s="209">
        <v>84</v>
      </c>
      <c r="G35" s="209">
        <f t="shared" si="0"/>
        <v>323</v>
      </c>
      <c r="H35" s="210">
        <f t="shared" si="1"/>
        <v>80.75</v>
      </c>
      <c r="I35" s="114">
        <f t="shared" si="2"/>
        <v>4.63</v>
      </c>
      <c r="J35" s="22" t="str">
        <f t="shared" si="3"/>
        <v>A</v>
      </c>
      <c r="K35" s="211">
        <f t="shared" si="4"/>
        <v>11</v>
      </c>
      <c r="L35" s="42">
        <f t="shared" si="5"/>
        <v>11</v>
      </c>
      <c r="M35" s="43">
        <f t="shared" si="6"/>
        <v>80.75</v>
      </c>
      <c r="N35" s="101"/>
      <c r="O35" s="101"/>
      <c r="P35" s="101"/>
    </row>
    <row r="36" spans="1:16" s="44" customFormat="1" ht="30" customHeight="1">
      <c r="A36" s="144">
        <v>23</v>
      </c>
      <c r="B36" s="138" t="s">
        <v>169</v>
      </c>
      <c r="C36" s="145">
        <v>70</v>
      </c>
      <c r="D36" s="209">
        <v>88</v>
      </c>
      <c r="E36" s="209">
        <v>75</v>
      </c>
      <c r="F36" s="209">
        <v>82</v>
      </c>
      <c r="G36" s="209">
        <f t="shared" si="0"/>
        <v>315</v>
      </c>
      <c r="H36" s="210">
        <f t="shared" si="1"/>
        <v>78.75</v>
      </c>
      <c r="I36" s="114">
        <f t="shared" si="2"/>
        <v>4.5</v>
      </c>
      <c r="J36" s="22" t="str">
        <f t="shared" si="3"/>
        <v>A</v>
      </c>
      <c r="K36" s="211">
        <f t="shared" si="4"/>
        <v>12</v>
      </c>
      <c r="L36" s="42">
        <f t="shared" si="5"/>
        <v>12</v>
      </c>
      <c r="M36" s="43">
        <f t="shared" si="6"/>
        <v>78.75</v>
      </c>
      <c r="N36" s="101"/>
      <c r="O36" s="101"/>
      <c r="P36" s="101"/>
    </row>
    <row r="37" spans="1:16" s="44" customFormat="1" ht="30" customHeight="1">
      <c r="A37" s="144">
        <v>24</v>
      </c>
      <c r="B37" s="138" t="s">
        <v>170</v>
      </c>
      <c r="C37" s="145">
        <v>70</v>
      </c>
      <c r="D37" s="209">
        <v>70</v>
      </c>
      <c r="E37" s="209">
        <v>72</v>
      </c>
      <c r="F37" s="209">
        <v>68</v>
      </c>
      <c r="G37" s="209">
        <f t="shared" si="0"/>
        <v>280</v>
      </c>
      <c r="H37" s="210">
        <f t="shared" si="1"/>
        <v>70</v>
      </c>
      <c r="I37" s="114">
        <f t="shared" si="2"/>
        <v>3.88</v>
      </c>
      <c r="J37" s="22" t="str">
        <f t="shared" si="3"/>
        <v>A-</v>
      </c>
      <c r="K37" s="211">
        <f t="shared" si="4"/>
        <v>21</v>
      </c>
      <c r="L37" s="42">
        <f t="shared" si="5"/>
        <v>21</v>
      </c>
      <c r="M37" s="43">
        <f t="shared" si="6"/>
        <v>70</v>
      </c>
      <c r="N37" s="101"/>
      <c r="O37" s="101"/>
      <c r="P37" s="101"/>
    </row>
    <row r="38" spans="1:16" s="44" customFormat="1" ht="30" customHeight="1">
      <c r="A38" s="144">
        <v>25</v>
      </c>
      <c r="B38" s="138" t="s">
        <v>171</v>
      </c>
      <c r="C38" s="145">
        <v>68</v>
      </c>
      <c r="D38" s="209">
        <v>50</v>
      </c>
      <c r="E38" s="209">
        <v>65</v>
      </c>
      <c r="F38" s="209">
        <v>60</v>
      </c>
      <c r="G38" s="209">
        <f t="shared" si="0"/>
        <v>243</v>
      </c>
      <c r="H38" s="210">
        <f t="shared" si="1"/>
        <v>60.75</v>
      </c>
      <c r="I38" s="114">
        <f t="shared" si="2"/>
        <v>3.38</v>
      </c>
      <c r="J38" s="22" t="str">
        <f t="shared" si="3"/>
        <v>B</v>
      </c>
      <c r="K38" s="211">
        <f t="shared" si="4"/>
        <v>25</v>
      </c>
      <c r="L38" s="42">
        <f t="shared" si="5"/>
        <v>25</v>
      </c>
      <c r="M38" s="43">
        <f t="shared" si="6"/>
        <v>60.75</v>
      </c>
      <c r="N38" s="101"/>
      <c r="O38" s="101"/>
      <c r="P38" s="101"/>
    </row>
    <row r="39" spans="1:16" s="44" customFormat="1" ht="30" customHeight="1">
      <c r="A39" s="144">
        <v>26</v>
      </c>
      <c r="B39" s="138" t="s">
        <v>172</v>
      </c>
      <c r="C39" s="145">
        <v>60</v>
      </c>
      <c r="D39" s="209">
        <v>80</v>
      </c>
      <c r="E39" s="209">
        <v>70</v>
      </c>
      <c r="F39" s="209">
        <v>69</v>
      </c>
      <c r="G39" s="209">
        <f t="shared" si="0"/>
        <v>279</v>
      </c>
      <c r="H39" s="210">
        <f t="shared" si="1"/>
        <v>69.75</v>
      </c>
      <c r="I39" s="114">
        <f t="shared" si="2"/>
        <v>4</v>
      </c>
      <c r="J39" s="22" t="str">
        <f t="shared" si="3"/>
        <v>A</v>
      </c>
      <c r="K39" s="211">
        <f t="shared" si="4"/>
        <v>22</v>
      </c>
      <c r="L39" s="42">
        <f t="shared" si="5"/>
        <v>22</v>
      </c>
      <c r="M39" s="43">
        <f t="shared" si="6"/>
        <v>69.75</v>
      </c>
      <c r="N39" s="101"/>
      <c r="O39" s="101"/>
      <c r="P39" s="101"/>
    </row>
    <row r="40" spans="1:16" s="44" customFormat="1" ht="30" customHeight="1">
      <c r="A40" s="144">
        <v>27</v>
      </c>
      <c r="B40" s="138" t="s">
        <v>173</v>
      </c>
      <c r="C40" s="145">
        <v>60</v>
      </c>
      <c r="D40" s="209">
        <v>84</v>
      </c>
      <c r="E40" s="209">
        <v>75</v>
      </c>
      <c r="F40" s="209">
        <v>75</v>
      </c>
      <c r="G40" s="209">
        <f t="shared" si="0"/>
        <v>294</v>
      </c>
      <c r="H40" s="210">
        <f t="shared" si="1"/>
        <v>73.5</v>
      </c>
      <c r="I40" s="114">
        <f t="shared" si="2"/>
        <v>4.13</v>
      </c>
      <c r="J40" s="22" t="str">
        <f t="shared" si="3"/>
        <v>A</v>
      </c>
      <c r="K40" s="211">
        <f t="shared" si="4"/>
        <v>19</v>
      </c>
      <c r="L40" s="42">
        <f t="shared" si="5"/>
        <v>19</v>
      </c>
      <c r="M40" s="43">
        <f t="shared" si="6"/>
        <v>73.5</v>
      </c>
      <c r="N40" s="101"/>
      <c r="O40" s="101"/>
      <c r="P40" s="101"/>
    </row>
    <row r="41" spans="1:16" s="44" customFormat="1" ht="30" customHeight="1" thickBot="1">
      <c r="A41" s="151">
        <v>28</v>
      </c>
      <c r="B41" s="138" t="s">
        <v>174</v>
      </c>
      <c r="C41" s="152">
        <v>60</v>
      </c>
      <c r="D41" s="212">
        <v>82</v>
      </c>
      <c r="E41" s="212">
        <v>78</v>
      </c>
      <c r="F41" s="212">
        <v>78</v>
      </c>
      <c r="G41" s="212">
        <f t="shared" si="0"/>
        <v>298</v>
      </c>
      <c r="H41" s="210">
        <f t="shared" si="1"/>
        <v>74.5</v>
      </c>
      <c r="I41" s="213">
        <f t="shared" si="2"/>
        <v>4.13</v>
      </c>
      <c r="J41" s="22" t="str">
        <f t="shared" si="3"/>
        <v>A</v>
      </c>
      <c r="K41" s="214">
        <f t="shared" si="4"/>
        <v>18</v>
      </c>
      <c r="L41" s="42">
        <f t="shared" si="5"/>
        <v>18</v>
      </c>
      <c r="M41" s="43">
        <f t="shared" si="6"/>
        <v>74.5</v>
      </c>
      <c r="N41" s="101"/>
      <c r="O41" s="101"/>
      <c r="P41" s="101"/>
    </row>
    <row r="42" spans="1:16" s="44" customFormat="1" ht="21.75" customHeight="1">
      <c r="A42" s="109"/>
      <c r="B42" s="110"/>
      <c r="C42" s="111"/>
      <c r="D42" s="111"/>
      <c r="E42" s="111"/>
      <c r="F42" s="111"/>
      <c r="G42" s="111" t="str">
        <f t="shared" si="0"/>
        <v/>
      </c>
      <c r="H42" s="112" t="str">
        <f t="shared" si="1"/>
        <v/>
      </c>
      <c r="I42" s="112" t="str">
        <f t="shared" si="2"/>
        <v/>
      </c>
      <c r="J42" s="109" t="str">
        <f t="shared" si="3"/>
        <v/>
      </c>
      <c r="K42" s="108" t="str">
        <f t="shared" si="4"/>
        <v/>
      </c>
      <c r="L42" s="42" t="str">
        <f t="shared" si="5"/>
        <v/>
      </c>
      <c r="M42" s="43" t="str">
        <f t="shared" si="6"/>
        <v/>
      </c>
      <c r="N42" s="101"/>
      <c r="O42" s="101"/>
      <c r="P42" s="101"/>
    </row>
    <row r="43" spans="1:16" s="44" customFormat="1" ht="21.75" customHeight="1">
      <c r="A43" s="109"/>
      <c r="B43" s="110"/>
      <c r="C43" s="111"/>
      <c r="D43" s="111"/>
      <c r="E43" s="111"/>
      <c r="F43" s="111"/>
      <c r="G43" s="111" t="str">
        <f t="shared" si="0"/>
        <v/>
      </c>
      <c r="H43" s="112" t="str">
        <f t="shared" si="1"/>
        <v/>
      </c>
      <c r="I43" s="112" t="str">
        <f t="shared" si="2"/>
        <v/>
      </c>
      <c r="J43" s="109" t="str">
        <f t="shared" si="3"/>
        <v/>
      </c>
      <c r="K43" s="108" t="str">
        <f t="shared" si="4"/>
        <v/>
      </c>
      <c r="L43" s="42" t="str">
        <f t="shared" si="5"/>
        <v/>
      </c>
      <c r="M43" s="43" t="str">
        <f t="shared" si="6"/>
        <v/>
      </c>
      <c r="N43" s="101"/>
      <c r="O43" s="101"/>
      <c r="P43" s="101"/>
    </row>
    <row r="44" spans="1:16" s="44" customFormat="1" ht="21.75" customHeight="1">
      <c r="A44" s="109"/>
      <c r="B44" s="110"/>
      <c r="C44" s="111"/>
      <c r="D44" s="111"/>
      <c r="E44" s="111"/>
      <c r="F44" s="111"/>
      <c r="G44" s="111" t="str">
        <f t="shared" si="0"/>
        <v/>
      </c>
      <c r="H44" s="112" t="str">
        <f t="shared" si="1"/>
        <v/>
      </c>
      <c r="I44" s="112" t="str">
        <f t="shared" si="2"/>
        <v/>
      </c>
      <c r="J44" s="109" t="str">
        <f t="shared" si="3"/>
        <v/>
      </c>
      <c r="K44" s="108" t="str">
        <f t="shared" si="4"/>
        <v/>
      </c>
      <c r="L44" s="42" t="str">
        <f t="shared" si="5"/>
        <v/>
      </c>
      <c r="M44" s="43" t="str">
        <f t="shared" si="6"/>
        <v/>
      </c>
      <c r="N44" s="101"/>
      <c r="O44" s="101"/>
      <c r="P44" s="101"/>
    </row>
    <row r="45" spans="1:16" s="44" customFormat="1" ht="21.75" customHeight="1">
      <c r="A45" s="109"/>
      <c r="B45" s="110"/>
      <c r="C45" s="111"/>
      <c r="D45" s="111"/>
      <c r="E45" s="111"/>
      <c r="F45" s="111"/>
      <c r="G45" s="111" t="str">
        <f t="shared" si="0"/>
        <v/>
      </c>
      <c r="H45" s="112" t="str">
        <f t="shared" si="1"/>
        <v/>
      </c>
      <c r="I45" s="112" t="str">
        <f t="shared" si="2"/>
        <v/>
      </c>
      <c r="J45" s="109" t="str">
        <f t="shared" si="3"/>
        <v/>
      </c>
      <c r="K45" s="108" t="str">
        <f t="shared" si="4"/>
        <v/>
      </c>
      <c r="L45" s="42" t="str">
        <f t="shared" si="5"/>
        <v/>
      </c>
      <c r="M45" s="43" t="str">
        <f t="shared" si="6"/>
        <v/>
      </c>
      <c r="N45" s="101"/>
      <c r="O45" s="101"/>
      <c r="P45" s="101"/>
    </row>
    <row r="46" spans="1:16" s="44" customFormat="1" ht="21.75" customHeight="1">
      <c r="A46" s="109"/>
      <c r="B46" s="110"/>
      <c r="C46" s="111"/>
      <c r="D46" s="111"/>
      <c r="E46" s="111"/>
      <c r="F46" s="111"/>
      <c r="G46" s="111" t="str">
        <f t="shared" ref="G46:G63" si="7">IF($B46="","",IF(COUNT(C46:F46)=0,"",SUM(C46:F46)))</f>
        <v/>
      </c>
      <c r="H46" s="112" t="str">
        <f t="shared" ref="H46:H63" si="8">IF($B46="","",IF(COUNT(C46:F46)=0,"",ROUND(SUM(C46:F46)/COLUMNS(C46:F46),2)))</f>
        <v/>
      </c>
      <c r="I46" s="112" t="str">
        <f t="shared" ref="I46:I63" si="9">IF($B46="","",IF(COUNT(C46:F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)/COLUMNS(C46:F46),2)))</f>
        <v/>
      </c>
      <c r="J46" s="109" t="str">
        <f t="shared" ref="J46:J63" si="10">IF($B46="","",IF(I46="","",IF(I46=0,"F",IF(I46=5,"A+",IF(I46&gt;=4,"A",IF(I46&gt;=3.5,"A-",IF(I46&gt;=3,"B",IF(I46&gt;=2,"C",IF(I46&gt;=1,"D","F")))))))))</f>
        <v/>
      </c>
      <c r="K46" s="108" t="str">
        <f t="shared" ref="K46:K63" si="11">IF($B46="","",IF($L46="","",IF($L46=1,"1g",IF($L46=2,"2q",IF($L46=3,"3q",$L46)))))</f>
        <v/>
      </c>
      <c r="L46" s="42" t="str">
        <f t="shared" ref="L46:L63" si="12">IF($B46="","",IF(OR($J46="ফেল",$J46="অনুপস্থিত",$J46="অসম্পূর্ণ"),"",1+SUMPRODUCT(($M$14:$M$63&lt;&gt;"")*($M$14:$M$63&gt;M46)/COUNTIF($M$14:$M$63,$M$14:$M$63))))</f>
        <v/>
      </c>
      <c r="M46" s="43" t="str">
        <f t="shared" ref="M46:M63" si="13">IF($B46="","",H46)</f>
        <v/>
      </c>
      <c r="N46" s="101"/>
      <c r="O46" s="101"/>
      <c r="P46" s="101"/>
    </row>
    <row r="47" spans="1:16" s="44" customFormat="1" ht="21.75" customHeight="1">
      <c r="A47" s="109">
        <v>34</v>
      </c>
      <c r="B47" s="110"/>
      <c r="C47" s="111"/>
      <c r="D47" s="111"/>
      <c r="E47" s="111"/>
      <c r="F47" s="111"/>
      <c r="G47" s="111" t="str">
        <f t="shared" si="7"/>
        <v/>
      </c>
      <c r="H47" s="112" t="str">
        <f t="shared" si="8"/>
        <v/>
      </c>
      <c r="I47" s="112" t="str">
        <f t="shared" si="9"/>
        <v/>
      </c>
      <c r="J47" s="109" t="str">
        <f t="shared" si="10"/>
        <v/>
      </c>
      <c r="K47" s="108" t="str">
        <f t="shared" si="11"/>
        <v/>
      </c>
      <c r="L47" s="42" t="str">
        <f t="shared" si="12"/>
        <v/>
      </c>
      <c r="M47" s="43" t="str">
        <f t="shared" si="13"/>
        <v/>
      </c>
      <c r="N47" s="101"/>
      <c r="O47" s="101"/>
      <c r="P47" s="101"/>
    </row>
    <row r="48" spans="1:16" s="44" customFormat="1" ht="21.75" customHeight="1">
      <c r="A48" s="109">
        <v>35</v>
      </c>
      <c r="B48" s="110"/>
      <c r="C48" s="111"/>
      <c r="D48" s="111"/>
      <c r="E48" s="111"/>
      <c r="F48" s="111"/>
      <c r="G48" s="111" t="str">
        <f t="shared" si="7"/>
        <v/>
      </c>
      <c r="H48" s="112" t="str">
        <f t="shared" si="8"/>
        <v/>
      </c>
      <c r="I48" s="112" t="str">
        <f t="shared" si="9"/>
        <v/>
      </c>
      <c r="J48" s="109" t="str">
        <f t="shared" si="10"/>
        <v/>
      </c>
      <c r="K48" s="108" t="str">
        <f t="shared" si="11"/>
        <v/>
      </c>
      <c r="L48" s="42" t="str">
        <f t="shared" si="12"/>
        <v/>
      </c>
      <c r="M48" s="43" t="str">
        <f t="shared" si="13"/>
        <v/>
      </c>
      <c r="N48" s="101"/>
      <c r="O48" s="101"/>
      <c r="P48" s="101"/>
    </row>
    <row r="49" spans="1:16" s="44" customFormat="1" ht="21.75" customHeight="1">
      <c r="A49" s="109">
        <v>36</v>
      </c>
      <c r="B49" s="110"/>
      <c r="C49" s="111"/>
      <c r="D49" s="111"/>
      <c r="E49" s="111"/>
      <c r="F49" s="111"/>
      <c r="G49" s="111" t="str">
        <f t="shared" si="7"/>
        <v/>
      </c>
      <c r="H49" s="112" t="str">
        <f t="shared" si="8"/>
        <v/>
      </c>
      <c r="I49" s="112" t="str">
        <f t="shared" si="9"/>
        <v/>
      </c>
      <c r="J49" s="109" t="str">
        <f t="shared" si="10"/>
        <v/>
      </c>
      <c r="K49" s="108" t="str">
        <f t="shared" si="11"/>
        <v/>
      </c>
      <c r="L49" s="42" t="str">
        <f t="shared" si="12"/>
        <v/>
      </c>
      <c r="M49" s="43" t="str">
        <f t="shared" si="13"/>
        <v/>
      </c>
      <c r="N49" s="101"/>
      <c r="O49" s="101"/>
      <c r="P49" s="101"/>
    </row>
    <row r="50" spans="1:16" s="44" customFormat="1" ht="21.75" customHeight="1">
      <c r="A50" s="109">
        <v>37</v>
      </c>
      <c r="B50" s="110"/>
      <c r="C50" s="111"/>
      <c r="D50" s="111"/>
      <c r="E50" s="111"/>
      <c r="F50" s="111"/>
      <c r="G50" s="111" t="str">
        <f t="shared" si="7"/>
        <v/>
      </c>
      <c r="H50" s="112" t="str">
        <f t="shared" si="8"/>
        <v/>
      </c>
      <c r="I50" s="112" t="str">
        <f t="shared" si="9"/>
        <v/>
      </c>
      <c r="J50" s="109" t="str">
        <f t="shared" si="10"/>
        <v/>
      </c>
      <c r="K50" s="108" t="str">
        <f t="shared" si="11"/>
        <v/>
      </c>
      <c r="L50" s="42" t="str">
        <f t="shared" si="12"/>
        <v/>
      </c>
      <c r="M50" s="43" t="str">
        <f t="shared" si="13"/>
        <v/>
      </c>
      <c r="N50" s="101"/>
      <c r="O50" s="101"/>
      <c r="P50" s="101"/>
    </row>
    <row r="51" spans="1:16" s="44" customFormat="1" ht="21.75" customHeight="1">
      <c r="A51" s="109">
        <v>38</v>
      </c>
      <c r="B51" s="110"/>
      <c r="C51" s="111"/>
      <c r="D51" s="111"/>
      <c r="E51" s="111"/>
      <c r="F51" s="111"/>
      <c r="G51" s="111" t="str">
        <f t="shared" si="7"/>
        <v/>
      </c>
      <c r="H51" s="112" t="str">
        <f t="shared" si="8"/>
        <v/>
      </c>
      <c r="I51" s="112" t="str">
        <f t="shared" si="9"/>
        <v/>
      </c>
      <c r="J51" s="109" t="str">
        <f t="shared" si="10"/>
        <v/>
      </c>
      <c r="K51" s="108" t="str">
        <f t="shared" si="11"/>
        <v/>
      </c>
      <c r="L51" s="42" t="str">
        <f t="shared" si="12"/>
        <v/>
      </c>
      <c r="M51" s="43" t="str">
        <f t="shared" si="13"/>
        <v/>
      </c>
      <c r="N51" s="101"/>
      <c r="O51" s="101"/>
      <c r="P51" s="101"/>
    </row>
    <row r="52" spans="1:16" s="44" customFormat="1" ht="21.75" customHeight="1">
      <c r="A52" s="109">
        <v>39</v>
      </c>
      <c r="B52" s="110"/>
      <c r="C52" s="111"/>
      <c r="D52" s="111"/>
      <c r="E52" s="111"/>
      <c r="F52" s="111"/>
      <c r="G52" s="111" t="str">
        <f t="shared" si="7"/>
        <v/>
      </c>
      <c r="H52" s="112" t="str">
        <f t="shared" si="8"/>
        <v/>
      </c>
      <c r="I52" s="112" t="str">
        <f t="shared" si="9"/>
        <v/>
      </c>
      <c r="J52" s="109" t="str">
        <f t="shared" si="10"/>
        <v/>
      </c>
      <c r="K52" s="108" t="str">
        <f t="shared" si="11"/>
        <v/>
      </c>
      <c r="L52" s="42" t="str">
        <f t="shared" si="12"/>
        <v/>
      </c>
      <c r="M52" s="43" t="str">
        <f t="shared" si="13"/>
        <v/>
      </c>
      <c r="N52" s="101"/>
      <c r="O52" s="101"/>
      <c r="P52" s="101"/>
    </row>
    <row r="53" spans="1:16" s="44" customFormat="1" ht="21.75" customHeight="1">
      <c r="A53" s="109">
        <v>40</v>
      </c>
      <c r="B53" s="110"/>
      <c r="C53" s="111"/>
      <c r="D53" s="111"/>
      <c r="E53" s="111"/>
      <c r="F53" s="111"/>
      <c r="G53" s="111" t="str">
        <f t="shared" si="7"/>
        <v/>
      </c>
      <c r="H53" s="112" t="str">
        <f t="shared" si="8"/>
        <v/>
      </c>
      <c r="I53" s="112" t="str">
        <f t="shared" si="9"/>
        <v/>
      </c>
      <c r="J53" s="109" t="str">
        <f t="shared" si="10"/>
        <v/>
      </c>
      <c r="K53" s="108" t="str">
        <f t="shared" si="11"/>
        <v/>
      </c>
      <c r="L53" s="42" t="str">
        <f t="shared" si="12"/>
        <v/>
      </c>
      <c r="M53" s="43" t="str">
        <f t="shared" si="13"/>
        <v/>
      </c>
      <c r="N53" s="101"/>
      <c r="O53" s="101"/>
      <c r="P53" s="101"/>
    </row>
    <row r="54" spans="1:16" s="44" customFormat="1" ht="21.75" customHeight="1">
      <c r="A54" s="109">
        <v>41</v>
      </c>
      <c r="B54" s="110"/>
      <c r="C54" s="111"/>
      <c r="D54" s="111"/>
      <c r="E54" s="111"/>
      <c r="F54" s="111"/>
      <c r="G54" s="111" t="str">
        <f t="shared" si="7"/>
        <v/>
      </c>
      <c r="H54" s="112" t="str">
        <f t="shared" si="8"/>
        <v/>
      </c>
      <c r="I54" s="112" t="str">
        <f t="shared" si="9"/>
        <v/>
      </c>
      <c r="J54" s="109" t="str">
        <f t="shared" si="10"/>
        <v/>
      </c>
      <c r="K54" s="108" t="str">
        <f t="shared" si="11"/>
        <v/>
      </c>
      <c r="L54" s="42" t="str">
        <f t="shared" si="12"/>
        <v/>
      </c>
      <c r="M54" s="43" t="str">
        <f t="shared" si="13"/>
        <v/>
      </c>
      <c r="N54" s="101"/>
      <c r="O54" s="101"/>
      <c r="P54" s="101"/>
    </row>
    <row r="55" spans="1:16" s="44" customFormat="1" ht="21.75" customHeight="1">
      <c r="A55" s="109">
        <v>42</v>
      </c>
      <c r="B55" s="110"/>
      <c r="C55" s="111"/>
      <c r="D55" s="111"/>
      <c r="E55" s="111"/>
      <c r="F55" s="111"/>
      <c r="G55" s="111" t="str">
        <f t="shared" si="7"/>
        <v/>
      </c>
      <c r="H55" s="112" t="str">
        <f t="shared" si="8"/>
        <v/>
      </c>
      <c r="I55" s="112" t="str">
        <f t="shared" si="9"/>
        <v/>
      </c>
      <c r="J55" s="109" t="str">
        <f t="shared" si="10"/>
        <v/>
      </c>
      <c r="K55" s="108" t="str">
        <f t="shared" si="11"/>
        <v/>
      </c>
      <c r="L55" s="42" t="str">
        <f t="shared" si="12"/>
        <v/>
      </c>
      <c r="M55" s="43" t="str">
        <f t="shared" si="13"/>
        <v/>
      </c>
      <c r="N55" s="101"/>
      <c r="O55" s="101"/>
      <c r="P55" s="101"/>
    </row>
    <row r="56" spans="1:16" s="44" customFormat="1" ht="21.75" customHeight="1">
      <c r="A56" s="109">
        <v>43</v>
      </c>
      <c r="B56" s="110"/>
      <c r="C56" s="111"/>
      <c r="D56" s="111"/>
      <c r="E56" s="111"/>
      <c r="F56" s="111"/>
      <c r="G56" s="111" t="str">
        <f t="shared" si="7"/>
        <v/>
      </c>
      <c r="H56" s="112" t="str">
        <f t="shared" si="8"/>
        <v/>
      </c>
      <c r="I56" s="112" t="str">
        <f t="shared" si="9"/>
        <v/>
      </c>
      <c r="J56" s="109" t="str">
        <f t="shared" si="10"/>
        <v/>
      </c>
      <c r="K56" s="108" t="str">
        <f t="shared" si="11"/>
        <v/>
      </c>
      <c r="L56" s="42" t="str">
        <f t="shared" si="12"/>
        <v/>
      </c>
      <c r="M56" s="43" t="str">
        <f t="shared" si="13"/>
        <v/>
      </c>
      <c r="N56" s="101"/>
      <c r="O56" s="101"/>
      <c r="P56" s="101"/>
    </row>
    <row r="57" spans="1:16" s="44" customFormat="1" ht="21.75" customHeight="1">
      <c r="A57" s="109">
        <v>44</v>
      </c>
      <c r="B57" s="110"/>
      <c r="C57" s="111"/>
      <c r="D57" s="111"/>
      <c r="E57" s="111"/>
      <c r="F57" s="111"/>
      <c r="G57" s="111" t="str">
        <f t="shared" si="7"/>
        <v/>
      </c>
      <c r="H57" s="112" t="str">
        <f t="shared" si="8"/>
        <v/>
      </c>
      <c r="I57" s="112" t="str">
        <f t="shared" si="9"/>
        <v/>
      </c>
      <c r="J57" s="109" t="str">
        <f t="shared" si="10"/>
        <v/>
      </c>
      <c r="K57" s="108" t="str">
        <f t="shared" si="11"/>
        <v/>
      </c>
      <c r="L57" s="42" t="str">
        <f t="shared" si="12"/>
        <v/>
      </c>
      <c r="M57" s="43" t="str">
        <f t="shared" si="13"/>
        <v/>
      </c>
      <c r="N57" s="101"/>
      <c r="O57" s="101"/>
      <c r="P57" s="101"/>
    </row>
    <row r="58" spans="1:16" s="44" customFormat="1" ht="21.75" customHeight="1">
      <c r="A58" s="109">
        <v>45</v>
      </c>
      <c r="B58" s="110"/>
      <c r="C58" s="111"/>
      <c r="D58" s="111"/>
      <c r="E58" s="111"/>
      <c r="F58" s="111"/>
      <c r="G58" s="111" t="str">
        <f t="shared" si="7"/>
        <v/>
      </c>
      <c r="H58" s="112" t="str">
        <f t="shared" si="8"/>
        <v/>
      </c>
      <c r="I58" s="112" t="str">
        <f t="shared" si="9"/>
        <v/>
      </c>
      <c r="J58" s="109" t="str">
        <f t="shared" si="10"/>
        <v/>
      </c>
      <c r="K58" s="108" t="str">
        <f t="shared" si="11"/>
        <v/>
      </c>
      <c r="L58" s="42" t="str">
        <f t="shared" si="12"/>
        <v/>
      </c>
      <c r="M58" s="43" t="str">
        <f t="shared" si="13"/>
        <v/>
      </c>
      <c r="N58" s="101"/>
      <c r="O58" s="101"/>
      <c r="P58" s="101"/>
    </row>
    <row r="59" spans="1:16" s="44" customFormat="1" ht="21.75" customHeight="1">
      <c r="A59" s="109">
        <v>46</v>
      </c>
      <c r="B59" s="110"/>
      <c r="C59" s="111"/>
      <c r="D59" s="111"/>
      <c r="E59" s="111"/>
      <c r="F59" s="111"/>
      <c r="G59" s="111" t="str">
        <f t="shared" si="7"/>
        <v/>
      </c>
      <c r="H59" s="112" t="str">
        <f t="shared" si="8"/>
        <v/>
      </c>
      <c r="I59" s="112" t="str">
        <f t="shared" si="9"/>
        <v/>
      </c>
      <c r="J59" s="109" t="str">
        <f t="shared" si="10"/>
        <v/>
      </c>
      <c r="K59" s="108" t="str">
        <f t="shared" si="11"/>
        <v/>
      </c>
      <c r="L59" s="42" t="str">
        <f t="shared" si="12"/>
        <v/>
      </c>
      <c r="M59" s="43" t="str">
        <f t="shared" si="13"/>
        <v/>
      </c>
      <c r="N59" s="101"/>
      <c r="O59" s="101"/>
      <c r="P59" s="101"/>
    </row>
    <row r="60" spans="1:16" s="44" customFormat="1" ht="21.75" customHeight="1">
      <c r="A60" s="109">
        <v>47</v>
      </c>
      <c r="B60" s="110"/>
      <c r="C60" s="111"/>
      <c r="D60" s="111"/>
      <c r="E60" s="111"/>
      <c r="F60" s="111"/>
      <c r="G60" s="111" t="str">
        <f t="shared" si="7"/>
        <v/>
      </c>
      <c r="H60" s="112" t="str">
        <f t="shared" si="8"/>
        <v/>
      </c>
      <c r="I60" s="112" t="str">
        <f t="shared" si="9"/>
        <v/>
      </c>
      <c r="J60" s="109" t="str">
        <f t="shared" si="10"/>
        <v/>
      </c>
      <c r="K60" s="108" t="str">
        <f t="shared" si="11"/>
        <v/>
      </c>
      <c r="L60" s="42" t="str">
        <f t="shared" si="12"/>
        <v/>
      </c>
      <c r="M60" s="43" t="str">
        <f t="shared" si="13"/>
        <v/>
      </c>
      <c r="N60" s="101"/>
      <c r="O60" s="101"/>
      <c r="P60" s="101"/>
    </row>
    <row r="61" spans="1:16" s="44" customFormat="1" ht="21.75" customHeight="1">
      <c r="A61" s="109">
        <v>48</v>
      </c>
      <c r="B61" s="110"/>
      <c r="C61" s="111"/>
      <c r="D61" s="111"/>
      <c r="E61" s="111"/>
      <c r="F61" s="111"/>
      <c r="G61" s="111" t="str">
        <f t="shared" si="7"/>
        <v/>
      </c>
      <c r="H61" s="112" t="str">
        <f t="shared" si="8"/>
        <v/>
      </c>
      <c r="I61" s="112" t="str">
        <f t="shared" si="9"/>
        <v/>
      </c>
      <c r="J61" s="109" t="str">
        <f t="shared" si="10"/>
        <v/>
      </c>
      <c r="K61" s="108" t="str">
        <f t="shared" si="11"/>
        <v/>
      </c>
      <c r="L61" s="42" t="str">
        <f t="shared" si="12"/>
        <v/>
      </c>
      <c r="M61" s="43" t="str">
        <f t="shared" si="13"/>
        <v/>
      </c>
      <c r="N61" s="101"/>
      <c r="O61" s="101"/>
      <c r="P61" s="101"/>
    </row>
    <row r="62" spans="1:16" s="44" customFormat="1" ht="21.75" customHeight="1">
      <c r="A62" s="109">
        <v>49</v>
      </c>
      <c r="B62" s="110"/>
      <c r="C62" s="111"/>
      <c r="D62" s="111"/>
      <c r="E62" s="111"/>
      <c r="F62" s="111"/>
      <c r="G62" s="111" t="str">
        <f t="shared" si="7"/>
        <v/>
      </c>
      <c r="H62" s="112" t="str">
        <f t="shared" si="8"/>
        <v/>
      </c>
      <c r="I62" s="112" t="str">
        <f t="shared" si="9"/>
        <v/>
      </c>
      <c r="J62" s="109" t="str">
        <f t="shared" si="10"/>
        <v/>
      </c>
      <c r="K62" s="108" t="str">
        <f t="shared" si="11"/>
        <v/>
      </c>
      <c r="L62" s="42" t="str">
        <f t="shared" si="12"/>
        <v/>
      </c>
      <c r="M62" s="43" t="str">
        <f t="shared" si="13"/>
        <v/>
      </c>
      <c r="N62" s="101"/>
      <c r="O62" s="101"/>
      <c r="P62" s="101"/>
    </row>
    <row r="63" spans="1:16" s="44" customFormat="1" ht="21.75" customHeight="1">
      <c r="A63" s="109">
        <v>50</v>
      </c>
      <c r="B63" s="110"/>
      <c r="C63" s="111"/>
      <c r="D63" s="111"/>
      <c r="E63" s="111"/>
      <c r="F63" s="111"/>
      <c r="G63" s="111" t="str">
        <f t="shared" si="7"/>
        <v/>
      </c>
      <c r="H63" s="112" t="str">
        <f t="shared" si="8"/>
        <v/>
      </c>
      <c r="I63" s="112" t="str">
        <f t="shared" si="9"/>
        <v/>
      </c>
      <c r="J63" s="109" t="str">
        <f t="shared" si="10"/>
        <v/>
      </c>
      <c r="K63" s="108" t="str">
        <f t="shared" si="11"/>
        <v/>
      </c>
      <c r="L63" s="42" t="str">
        <f t="shared" si="12"/>
        <v/>
      </c>
      <c r="M63" s="43" t="str">
        <f t="shared" si="13"/>
        <v/>
      </c>
      <c r="N63" s="101"/>
      <c r="O63" s="101"/>
      <c r="P63" s="101"/>
    </row>
    <row r="64" spans="1:16" s="44" customFormat="1" ht="21.75" customHeight="1">
      <c r="A64" s="109">
        <v>51</v>
      </c>
      <c r="B64" s="110"/>
      <c r="C64" s="111"/>
      <c r="D64" s="111"/>
      <c r="E64" s="111"/>
      <c r="F64" s="111"/>
      <c r="G64" s="111"/>
      <c r="H64" s="112"/>
      <c r="I64" s="112"/>
      <c r="J64" s="109"/>
      <c r="K64" s="108"/>
      <c r="L64" s="42"/>
      <c r="M64" s="43"/>
      <c r="N64" s="101"/>
      <c r="O64" s="101"/>
      <c r="P64" s="101"/>
    </row>
    <row r="65" spans="1:16" s="44" customFormat="1" ht="21.75" customHeight="1">
      <c r="A65" s="109">
        <v>52</v>
      </c>
      <c r="B65" s="110"/>
      <c r="C65" s="111"/>
      <c r="D65" s="111"/>
      <c r="E65" s="111"/>
      <c r="F65" s="111"/>
      <c r="G65" s="111"/>
      <c r="H65" s="112"/>
      <c r="I65" s="112"/>
      <c r="J65" s="109"/>
      <c r="K65" s="108"/>
      <c r="L65" s="42"/>
      <c r="M65" s="43"/>
      <c r="N65" s="101"/>
      <c r="O65" s="101"/>
      <c r="P65" s="101"/>
    </row>
    <row r="66" spans="1:16" s="44" customFormat="1" ht="21.75" customHeight="1">
      <c r="A66" s="109">
        <v>53</v>
      </c>
      <c r="B66" s="110"/>
      <c r="C66" s="111"/>
      <c r="D66" s="111"/>
      <c r="E66" s="111"/>
      <c r="F66" s="111"/>
      <c r="G66" s="111"/>
      <c r="H66" s="112"/>
      <c r="I66" s="112"/>
      <c r="J66" s="109"/>
      <c r="K66" s="108"/>
      <c r="L66" s="42"/>
      <c r="M66" s="43"/>
      <c r="N66" s="101"/>
      <c r="O66" s="101"/>
      <c r="P66" s="101"/>
    </row>
    <row r="67" spans="1:16" s="44" customFormat="1" ht="21.75" customHeight="1">
      <c r="A67" s="109">
        <v>54</v>
      </c>
      <c r="B67" s="110"/>
      <c r="C67" s="111"/>
      <c r="D67" s="111"/>
      <c r="E67" s="111"/>
      <c r="F67" s="111"/>
      <c r="G67" s="111"/>
      <c r="H67" s="112"/>
      <c r="I67" s="112"/>
      <c r="J67" s="109"/>
      <c r="K67" s="108"/>
      <c r="L67" s="42"/>
      <c r="M67" s="43"/>
      <c r="N67" s="101"/>
      <c r="O67" s="101"/>
      <c r="P67" s="101"/>
    </row>
    <row r="68" spans="1:16" s="44" customFormat="1" ht="21.75" customHeight="1">
      <c r="A68" s="109">
        <v>55</v>
      </c>
      <c r="B68" s="110"/>
      <c r="C68" s="111"/>
      <c r="D68" s="111"/>
      <c r="E68" s="111"/>
      <c r="F68" s="111"/>
      <c r="G68" s="111"/>
      <c r="H68" s="112"/>
      <c r="I68" s="112"/>
      <c r="J68" s="109"/>
      <c r="K68" s="108"/>
      <c r="L68" s="42"/>
      <c r="M68" s="43"/>
      <c r="N68" s="101"/>
      <c r="O68" s="101"/>
      <c r="P68" s="101"/>
    </row>
    <row r="69" spans="1:16" s="44" customFormat="1" ht="21.75" customHeight="1">
      <c r="A69" s="109">
        <v>56</v>
      </c>
      <c r="B69" s="110"/>
      <c r="C69" s="111"/>
      <c r="D69" s="111"/>
      <c r="E69" s="111"/>
      <c r="F69" s="111"/>
      <c r="G69" s="111"/>
      <c r="H69" s="112"/>
      <c r="I69" s="112"/>
      <c r="J69" s="109"/>
      <c r="K69" s="108"/>
      <c r="L69" s="42"/>
      <c r="M69" s="43"/>
      <c r="N69" s="101"/>
      <c r="O69" s="101"/>
      <c r="P69" s="101"/>
    </row>
    <row r="70" spans="1:16" s="44" customFormat="1" ht="21.75" customHeight="1">
      <c r="A70" s="109">
        <v>57</v>
      </c>
      <c r="B70" s="110"/>
      <c r="C70" s="111"/>
      <c r="D70" s="111"/>
      <c r="E70" s="111"/>
      <c r="F70" s="111"/>
      <c r="G70" s="111"/>
      <c r="H70" s="112"/>
      <c r="I70" s="112"/>
      <c r="J70" s="109"/>
      <c r="K70" s="108"/>
      <c r="L70" s="42"/>
      <c r="M70" s="43"/>
      <c r="N70" s="101"/>
      <c r="O70" s="101"/>
      <c r="P70" s="101"/>
    </row>
    <row r="71" spans="1:16" s="44" customFormat="1" ht="21.75" customHeight="1">
      <c r="A71" s="109">
        <v>58</v>
      </c>
      <c r="B71" s="110"/>
      <c r="C71" s="111"/>
      <c r="D71" s="111"/>
      <c r="E71" s="111"/>
      <c r="F71" s="111"/>
      <c r="G71" s="111"/>
      <c r="H71" s="112"/>
      <c r="I71" s="112"/>
      <c r="J71" s="109"/>
      <c r="K71" s="108"/>
      <c r="L71" s="42"/>
      <c r="M71" s="43"/>
      <c r="N71" s="101"/>
      <c r="O71" s="101"/>
      <c r="P71" s="101"/>
    </row>
    <row r="72" spans="1:16" s="44" customFormat="1" ht="21.75" customHeight="1">
      <c r="A72" s="109">
        <v>59</v>
      </c>
      <c r="B72" s="110"/>
      <c r="C72" s="111"/>
      <c r="D72" s="111"/>
      <c r="E72" s="111"/>
      <c r="F72" s="111"/>
      <c r="G72" s="111"/>
      <c r="H72" s="112"/>
      <c r="I72" s="112"/>
      <c r="J72" s="109"/>
      <c r="K72" s="108"/>
      <c r="L72" s="42"/>
      <c r="M72" s="43"/>
      <c r="N72" s="101"/>
      <c r="O72" s="101"/>
      <c r="P72" s="101"/>
    </row>
    <row r="73" spans="1:16" s="44" customFormat="1" ht="21.75" customHeight="1">
      <c r="A73" s="109">
        <v>60</v>
      </c>
      <c r="B73" s="110"/>
      <c r="C73" s="111"/>
      <c r="D73" s="111"/>
      <c r="E73" s="111"/>
      <c r="F73" s="111"/>
      <c r="G73" s="111"/>
      <c r="H73" s="112"/>
      <c r="I73" s="112"/>
      <c r="J73" s="109"/>
      <c r="K73" s="108"/>
      <c r="L73" s="42"/>
      <c r="M73" s="43"/>
      <c r="N73" s="101"/>
      <c r="O73" s="101"/>
      <c r="P73" s="101"/>
    </row>
    <row r="74" spans="1:16" s="44" customFormat="1" ht="21.75" customHeight="1">
      <c r="A74" s="109">
        <v>61</v>
      </c>
      <c r="B74" s="110"/>
      <c r="C74" s="111"/>
      <c r="D74" s="111"/>
      <c r="E74" s="111"/>
      <c r="F74" s="111"/>
      <c r="G74" s="111"/>
      <c r="H74" s="112"/>
      <c r="I74" s="112"/>
      <c r="J74" s="109"/>
      <c r="K74" s="108"/>
      <c r="L74" s="42"/>
      <c r="M74" s="43"/>
      <c r="N74" s="101"/>
      <c r="O74" s="101"/>
      <c r="P74" s="101"/>
    </row>
    <row r="75" spans="1:16" s="44" customFormat="1" ht="21.75" customHeight="1">
      <c r="A75" s="109">
        <v>62</v>
      </c>
      <c r="B75" s="110"/>
      <c r="C75" s="111"/>
      <c r="D75" s="111"/>
      <c r="E75" s="111"/>
      <c r="F75" s="111"/>
      <c r="G75" s="111"/>
      <c r="H75" s="112"/>
      <c r="I75" s="112"/>
      <c r="J75" s="109"/>
      <c r="K75" s="108"/>
      <c r="L75" s="42"/>
      <c r="M75" s="43"/>
      <c r="N75" s="101"/>
      <c r="O75" s="101"/>
      <c r="P75" s="101"/>
    </row>
    <row r="76" spans="1:16" s="44" customFormat="1" ht="21.75" customHeight="1">
      <c r="A76" s="109">
        <v>63</v>
      </c>
      <c r="B76" s="110"/>
      <c r="C76" s="111"/>
      <c r="D76" s="111"/>
      <c r="E76" s="111"/>
      <c r="F76" s="111"/>
      <c r="G76" s="111"/>
      <c r="H76" s="112"/>
      <c r="I76" s="112"/>
      <c r="J76" s="109"/>
      <c r="K76" s="108"/>
      <c r="L76" s="42"/>
      <c r="M76" s="43"/>
      <c r="N76" s="101"/>
      <c r="O76" s="101"/>
      <c r="P76" s="101"/>
    </row>
    <row r="77" spans="1:16" s="44" customFormat="1" ht="21.75" customHeight="1">
      <c r="A77" s="109">
        <v>64</v>
      </c>
      <c r="B77" s="110"/>
      <c r="C77" s="111"/>
      <c r="D77" s="111"/>
      <c r="E77" s="111"/>
      <c r="F77" s="111"/>
      <c r="G77" s="111"/>
      <c r="H77" s="112"/>
      <c r="I77" s="112"/>
      <c r="J77" s="109"/>
      <c r="K77" s="108"/>
      <c r="L77" s="42"/>
      <c r="M77" s="43"/>
      <c r="N77" s="101"/>
      <c r="O77" s="101"/>
      <c r="P77" s="101"/>
    </row>
    <row r="78" spans="1:16" s="44" customFormat="1" ht="21.75" customHeight="1">
      <c r="A78" s="109">
        <v>65</v>
      </c>
      <c r="B78" s="110"/>
      <c r="C78" s="111"/>
      <c r="D78" s="111"/>
      <c r="E78" s="111"/>
      <c r="F78" s="111"/>
      <c r="G78" s="111" t="str">
        <f t="shared" ref="G78:G113" si="14">IF($B78="","",IF(COUNT(C78:F78)=0,"",SUM(C78,D78,E78,F78)))</f>
        <v/>
      </c>
      <c r="H78" s="112" t="str">
        <f t="shared" ref="H78:H113" si="15">IF($B78="","",IF(COUNT(C78:F78)=0,"",ROUND(SUM(C78,D78,E78,F78)/COUNT(C78:F78),2)))</f>
        <v/>
      </c>
      <c r="I78" s="112" t="str">
        <f t="shared" ref="I78:I113" si="16">IF($B78="","",IF(COUNT(C78:F78)=0,"",ROUND((IF(ISNUMBER(C78),IF(C78&gt;=80,5,IF(C78&gt;=70,4,IF(C78&gt;=60,3.5,IF(C78&gt;=50,3,IF(C78&gt;=40,2,IF(C78&gt;=33,1,0)))))),0)+IF(ISNUMBER(D78),IF(D78&gt;=80,5,IF(D78&gt;=70,4,IF(D78&gt;=60,3.5,IF(D78&gt;=50,3,IF(D78&gt;=40,2,IF(D78&gt;=33,1,0)))))),0)+IF(ISNUMBER(E78),IF(E78&gt;=80,5,IF(E78&gt;=70,4,IF(E78&gt;=60,3.5,IF(E78&gt;=50,3,IF(E78&gt;=40,2,IF(E78&gt;=33,1,0)))))),0)+IF(ISNUMBER(F78),IF(F78&gt;=80,5,IF(F78&gt;=70,4,IF(F78&gt;=60,3.5,IF(F78&gt;=50,3,IF(F78&gt;=40,2,IF(F78&gt;=33,1,0)))))),0))/COUNT(C78:F78),2)))</f>
        <v/>
      </c>
      <c r="J78" s="109" t="str">
        <f t="shared" ref="J78:J113" si="17">IF($B78="","",IF(I78="","",IF(I78=0,"Fail",IF(I78=5,"A+",IF(I78&gt;=4,"A",IF(I78&gt;=3.5,"A-",IF(I78&gt;=3,"B",IF(I78&gt;=2,"C",IF(I78&gt;=1,"D","F")))))))))</f>
        <v/>
      </c>
      <c r="K78" s="108"/>
      <c r="L78" s="42" t="str">
        <f t="shared" ref="L78:L113" si="18">IF($B78="","",IF(OR($J78="ফেল",$J78="অনুপস্থিত",$J78="অসম্পূর্ণ"),"",1+SUMPRODUCT(($M$14:$M$113&lt;&gt;"")*($M$14:$M$113&gt;$M78)/COUNTIF($M$14:$M$113,$M$14:$M$113))))</f>
        <v/>
      </c>
      <c r="M78" s="43" t="str">
        <f t="shared" ref="M78:M113" si="19">IF($B78="","",IF(OR($J78="ফেল",$J78="অনুপস্থিত",$J78="অসম্পূর্ণ"),"",$H78))</f>
        <v/>
      </c>
      <c r="N78" s="101"/>
      <c r="O78" s="101"/>
      <c r="P78" s="101"/>
    </row>
    <row r="79" spans="1:16" s="44" customFormat="1" ht="21.75" customHeight="1">
      <c r="A79" s="109">
        <v>66</v>
      </c>
      <c r="B79" s="110"/>
      <c r="C79" s="111"/>
      <c r="D79" s="111"/>
      <c r="E79" s="111"/>
      <c r="F79" s="111"/>
      <c r="G79" s="111" t="str">
        <f t="shared" si="14"/>
        <v/>
      </c>
      <c r="H79" s="112" t="str">
        <f t="shared" si="15"/>
        <v/>
      </c>
      <c r="I79" s="112" t="str">
        <f t="shared" si="16"/>
        <v/>
      </c>
      <c r="J79" s="109" t="str">
        <f t="shared" si="17"/>
        <v/>
      </c>
      <c r="K79" s="108"/>
      <c r="L79" s="42" t="str">
        <f t="shared" si="18"/>
        <v/>
      </c>
      <c r="M79" s="43" t="str">
        <f t="shared" si="19"/>
        <v/>
      </c>
      <c r="N79" s="101"/>
      <c r="O79" s="101"/>
      <c r="P79" s="101"/>
    </row>
    <row r="80" spans="1:16" s="44" customFormat="1" ht="21.75" customHeight="1">
      <c r="A80" s="109">
        <v>67</v>
      </c>
      <c r="B80" s="110"/>
      <c r="C80" s="111"/>
      <c r="D80" s="111"/>
      <c r="E80" s="111"/>
      <c r="F80" s="111"/>
      <c r="G80" s="111" t="str">
        <f t="shared" si="14"/>
        <v/>
      </c>
      <c r="H80" s="112" t="str">
        <f t="shared" si="15"/>
        <v/>
      </c>
      <c r="I80" s="112" t="str">
        <f t="shared" si="16"/>
        <v/>
      </c>
      <c r="J80" s="109" t="str">
        <f t="shared" si="17"/>
        <v/>
      </c>
      <c r="K80" s="108"/>
      <c r="L80" s="42" t="str">
        <f t="shared" si="18"/>
        <v/>
      </c>
      <c r="M80" s="43" t="str">
        <f t="shared" si="19"/>
        <v/>
      </c>
      <c r="N80" s="101"/>
      <c r="O80" s="101"/>
      <c r="P80" s="101"/>
    </row>
    <row r="81" spans="1:16" s="44" customFormat="1" ht="21.75" customHeight="1">
      <c r="A81" s="109">
        <v>68</v>
      </c>
      <c r="B81" s="110"/>
      <c r="C81" s="111"/>
      <c r="D81" s="111"/>
      <c r="E81" s="111"/>
      <c r="F81" s="111"/>
      <c r="G81" s="111" t="str">
        <f t="shared" si="14"/>
        <v/>
      </c>
      <c r="H81" s="112" t="str">
        <f t="shared" si="15"/>
        <v/>
      </c>
      <c r="I81" s="112" t="str">
        <f t="shared" si="16"/>
        <v/>
      </c>
      <c r="J81" s="109" t="str">
        <f t="shared" si="17"/>
        <v/>
      </c>
      <c r="K81" s="108"/>
      <c r="L81" s="42" t="str">
        <f t="shared" si="18"/>
        <v/>
      </c>
      <c r="M81" s="43" t="str">
        <f t="shared" si="19"/>
        <v/>
      </c>
      <c r="N81" s="101"/>
      <c r="O81" s="101"/>
      <c r="P81" s="101"/>
    </row>
    <row r="82" spans="1:16" s="44" customFormat="1" ht="21.75" customHeight="1">
      <c r="A82" s="109">
        <v>69</v>
      </c>
      <c r="B82" s="110"/>
      <c r="C82" s="111"/>
      <c r="D82" s="111"/>
      <c r="E82" s="111"/>
      <c r="F82" s="111"/>
      <c r="G82" s="111" t="str">
        <f t="shared" si="14"/>
        <v/>
      </c>
      <c r="H82" s="112" t="str">
        <f t="shared" si="15"/>
        <v/>
      </c>
      <c r="I82" s="112" t="str">
        <f t="shared" si="16"/>
        <v/>
      </c>
      <c r="J82" s="109" t="str">
        <f t="shared" si="17"/>
        <v/>
      </c>
      <c r="K82" s="108"/>
      <c r="L82" s="42" t="str">
        <f t="shared" si="18"/>
        <v/>
      </c>
      <c r="M82" s="43" t="str">
        <f t="shared" si="19"/>
        <v/>
      </c>
      <c r="N82" s="101"/>
      <c r="O82" s="101"/>
      <c r="P82" s="101"/>
    </row>
    <row r="83" spans="1:16" s="44" customFormat="1" ht="21.75" customHeight="1">
      <c r="A83" s="109">
        <v>70</v>
      </c>
      <c r="B83" s="110"/>
      <c r="C83" s="111"/>
      <c r="D83" s="111"/>
      <c r="E83" s="111"/>
      <c r="F83" s="111"/>
      <c r="G83" s="111" t="str">
        <f t="shared" si="14"/>
        <v/>
      </c>
      <c r="H83" s="112" t="str">
        <f t="shared" si="15"/>
        <v/>
      </c>
      <c r="I83" s="112" t="str">
        <f t="shared" si="16"/>
        <v/>
      </c>
      <c r="J83" s="109" t="str">
        <f t="shared" si="17"/>
        <v/>
      </c>
      <c r="K83" s="108"/>
      <c r="L83" s="42" t="str">
        <f t="shared" si="18"/>
        <v/>
      </c>
      <c r="M83" s="43" t="str">
        <f t="shared" si="19"/>
        <v/>
      </c>
      <c r="N83" s="101"/>
      <c r="O83" s="101"/>
      <c r="P83" s="101"/>
    </row>
    <row r="84" spans="1:16" s="44" customFormat="1" ht="21.75" customHeight="1">
      <c r="A84" s="109">
        <v>71</v>
      </c>
      <c r="B84" s="110"/>
      <c r="C84" s="111"/>
      <c r="D84" s="111"/>
      <c r="E84" s="111"/>
      <c r="F84" s="111"/>
      <c r="G84" s="111" t="str">
        <f t="shared" si="14"/>
        <v/>
      </c>
      <c r="H84" s="112" t="str">
        <f t="shared" si="15"/>
        <v/>
      </c>
      <c r="I84" s="112" t="str">
        <f t="shared" si="16"/>
        <v/>
      </c>
      <c r="J84" s="109" t="str">
        <f t="shared" si="17"/>
        <v/>
      </c>
      <c r="K84" s="108"/>
      <c r="L84" s="42" t="str">
        <f t="shared" si="18"/>
        <v/>
      </c>
      <c r="M84" s="43" t="str">
        <f t="shared" si="19"/>
        <v/>
      </c>
      <c r="N84" s="101"/>
      <c r="O84" s="101"/>
      <c r="P84" s="101"/>
    </row>
    <row r="85" spans="1:16" s="44" customFormat="1" ht="21.75" customHeight="1">
      <c r="A85" s="109">
        <v>72</v>
      </c>
      <c r="B85" s="110"/>
      <c r="C85" s="111"/>
      <c r="D85" s="111"/>
      <c r="E85" s="111"/>
      <c r="F85" s="111"/>
      <c r="G85" s="111" t="str">
        <f t="shared" si="14"/>
        <v/>
      </c>
      <c r="H85" s="112" t="str">
        <f t="shared" si="15"/>
        <v/>
      </c>
      <c r="I85" s="112" t="str">
        <f t="shared" si="16"/>
        <v/>
      </c>
      <c r="J85" s="109" t="str">
        <f t="shared" si="17"/>
        <v/>
      </c>
      <c r="K85" s="108"/>
      <c r="L85" s="42" t="str">
        <f t="shared" si="18"/>
        <v/>
      </c>
      <c r="M85" s="43" t="str">
        <f t="shared" si="19"/>
        <v/>
      </c>
      <c r="N85" s="101"/>
      <c r="O85" s="101"/>
      <c r="P85" s="101"/>
    </row>
    <row r="86" spans="1:16" s="44" customFormat="1" ht="21.75" customHeight="1">
      <c r="A86" s="109">
        <v>73</v>
      </c>
      <c r="B86" s="110"/>
      <c r="C86" s="111"/>
      <c r="D86" s="111"/>
      <c r="E86" s="111"/>
      <c r="F86" s="111"/>
      <c r="G86" s="111" t="str">
        <f t="shared" si="14"/>
        <v/>
      </c>
      <c r="H86" s="112" t="str">
        <f t="shared" si="15"/>
        <v/>
      </c>
      <c r="I86" s="112" t="str">
        <f t="shared" si="16"/>
        <v/>
      </c>
      <c r="J86" s="109" t="str">
        <f t="shared" si="17"/>
        <v/>
      </c>
      <c r="K86" s="108"/>
      <c r="L86" s="42" t="str">
        <f t="shared" si="18"/>
        <v/>
      </c>
      <c r="M86" s="43" t="str">
        <f t="shared" si="19"/>
        <v/>
      </c>
      <c r="N86" s="101"/>
      <c r="O86" s="101"/>
      <c r="P86" s="101"/>
    </row>
    <row r="87" spans="1:16" s="44" customFormat="1" ht="21.75" customHeight="1">
      <c r="A87" s="109">
        <v>74</v>
      </c>
      <c r="B87" s="110"/>
      <c r="C87" s="111"/>
      <c r="D87" s="111"/>
      <c r="E87" s="111"/>
      <c r="F87" s="111"/>
      <c r="G87" s="111" t="str">
        <f t="shared" si="14"/>
        <v/>
      </c>
      <c r="H87" s="112" t="str">
        <f t="shared" si="15"/>
        <v/>
      </c>
      <c r="I87" s="112" t="str">
        <f t="shared" si="16"/>
        <v/>
      </c>
      <c r="J87" s="109" t="str">
        <f t="shared" si="17"/>
        <v/>
      </c>
      <c r="K87" s="108"/>
      <c r="L87" s="42" t="str">
        <f t="shared" si="18"/>
        <v/>
      </c>
      <c r="M87" s="43" t="str">
        <f t="shared" si="19"/>
        <v/>
      </c>
      <c r="N87" s="101"/>
      <c r="O87" s="101"/>
      <c r="P87" s="101"/>
    </row>
    <row r="88" spans="1:16" s="44" customFormat="1" ht="21.75" customHeight="1">
      <c r="A88" s="109">
        <v>75</v>
      </c>
      <c r="B88" s="110"/>
      <c r="C88" s="111"/>
      <c r="D88" s="111"/>
      <c r="E88" s="111"/>
      <c r="F88" s="111"/>
      <c r="G88" s="111" t="str">
        <f t="shared" si="14"/>
        <v/>
      </c>
      <c r="H88" s="112" t="str">
        <f t="shared" si="15"/>
        <v/>
      </c>
      <c r="I88" s="112" t="str">
        <f t="shared" si="16"/>
        <v/>
      </c>
      <c r="J88" s="109" t="str">
        <f t="shared" si="17"/>
        <v/>
      </c>
      <c r="K88" s="108" t="str">
        <f t="shared" ref="K88:K113" si="20">IF($B88="","",IF($J88="ফেল","ফেল",IF($J88="অনুপস্থিত","অনুপস্থিত",IF($J88="অসম্পূর্ণ","অসম্পূর্ণ",IF($L88=1,"1g",IF($L88=2,"2q",IF($L88=3,"3q",$L88)))))))</f>
        <v/>
      </c>
      <c r="L88" s="42" t="str">
        <f t="shared" si="18"/>
        <v/>
      </c>
      <c r="M88" s="43" t="str">
        <f t="shared" si="19"/>
        <v/>
      </c>
      <c r="N88" s="101"/>
      <c r="O88" s="101"/>
      <c r="P88" s="101"/>
    </row>
    <row r="89" spans="1:16" s="44" customFormat="1" ht="21.75" customHeight="1">
      <c r="A89" s="109">
        <v>76</v>
      </c>
      <c r="B89" s="110"/>
      <c r="C89" s="111"/>
      <c r="D89" s="111"/>
      <c r="E89" s="111"/>
      <c r="F89" s="111"/>
      <c r="G89" s="111" t="str">
        <f t="shared" si="14"/>
        <v/>
      </c>
      <c r="H89" s="112" t="str">
        <f t="shared" si="15"/>
        <v/>
      </c>
      <c r="I89" s="112" t="str">
        <f t="shared" si="16"/>
        <v/>
      </c>
      <c r="J89" s="109" t="str">
        <f t="shared" si="17"/>
        <v/>
      </c>
      <c r="K89" s="108" t="str">
        <f t="shared" si="20"/>
        <v/>
      </c>
      <c r="L89" s="42" t="str">
        <f t="shared" si="18"/>
        <v/>
      </c>
      <c r="M89" s="43" t="str">
        <f t="shared" si="19"/>
        <v/>
      </c>
      <c r="N89" s="101"/>
      <c r="O89" s="101"/>
      <c r="P89" s="101"/>
    </row>
    <row r="90" spans="1:16" s="44" customFormat="1" ht="21.75" customHeight="1">
      <c r="A90" s="109">
        <v>77</v>
      </c>
      <c r="B90" s="110"/>
      <c r="C90" s="111"/>
      <c r="D90" s="111"/>
      <c r="E90" s="111"/>
      <c r="F90" s="111"/>
      <c r="G90" s="111" t="str">
        <f t="shared" si="14"/>
        <v/>
      </c>
      <c r="H90" s="112" t="str">
        <f t="shared" si="15"/>
        <v/>
      </c>
      <c r="I90" s="112" t="str">
        <f t="shared" si="16"/>
        <v/>
      </c>
      <c r="J90" s="109" t="str">
        <f t="shared" si="17"/>
        <v/>
      </c>
      <c r="K90" s="108" t="str">
        <f t="shared" si="20"/>
        <v/>
      </c>
      <c r="L90" s="42" t="str">
        <f t="shared" si="18"/>
        <v/>
      </c>
      <c r="M90" s="43" t="str">
        <f t="shared" si="19"/>
        <v/>
      </c>
      <c r="N90" s="101"/>
      <c r="O90" s="101"/>
      <c r="P90" s="101"/>
    </row>
    <row r="91" spans="1:16" s="44" customFormat="1" ht="21.75" customHeight="1">
      <c r="A91" s="109">
        <v>78</v>
      </c>
      <c r="B91" s="110"/>
      <c r="C91" s="111"/>
      <c r="D91" s="111"/>
      <c r="E91" s="111"/>
      <c r="F91" s="111"/>
      <c r="G91" s="111" t="str">
        <f t="shared" si="14"/>
        <v/>
      </c>
      <c r="H91" s="112" t="str">
        <f t="shared" si="15"/>
        <v/>
      </c>
      <c r="I91" s="112" t="str">
        <f t="shared" si="16"/>
        <v/>
      </c>
      <c r="J91" s="109" t="str">
        <f t="shared" si="17"/>
        <v/>
      </c>
      <c r="K91" s="108" t="str">
        <f t="shared" si="20"/>
        <v/>
      </c>
      <c r="L91" s="42" t="str">
        <f t="shared" si="18"/>
        <v/>
      </c>
      <c r="M91" s="43" t="str">
        <f t="shared" si="19"/>
        <v/>
      </c>
      <c r="N91" s="101"/>
      <c r="O91" s="101"/>
      <c r="P91" s="101"/>
    </row>
    <row r="92" spans="1:16" s="44" customFormat="1" ht="21.75" customHeight="1">
      <c r="A92" s="109">
        <v>79</v>
      </c>
      <c r="B92" s="110"/>
      <c r="C92" s="111"/>
      <c r="D92" s="111"/>
      <c r="E92" s="111"/>
      <c r="F92" s="111"/>
      <c r="G92" s="111" t="str">
        <f t="shared" si="14"/>
        <v/>
      </c>
      <c r="H92" s="112" t="str">
        <f t="shared" si="15"/>
        <v/>
      </c>
      <c r="I92" s="112" t="str">
        <f t="shared" si="16"/>
        <v/>
      </c>
      <c r="J92" s="109" t="str">
        <f t="shared" si="17"/>
        <v/>
      </c>
      <c r="K92" s="108" t="str">
        <f t="shared" si="20"/>
        <v/>
      </c>
      <c r="L92" s="42" t="str">
        <f t="shared" si="18"/>
        <v/>
      </c>
      <c r="M92" s="43" t="str">
        <f t="shared" si="19"/>
        <v/>
      </c>
      <c r="N92" s="101"/>
      <c r="O92" s="101"/>
      <c r="P92" s="101"/>
    </row>
    <row r="93" spans="1:16" s="44" customFormat="1" ht="21.75" customHeight="1">
      <c r="A93" s="109">
        <v>80</v>
      </c>
      <c r="B93" s="110"/>
      <c r="C93" s="111"/>
      <c r="D93" s="111"/>
      <c r="E93" s="111"/>
      <c r="F93" s="111"/>
      <c r="G93" s="111" t="str">
        <f t="shared" si="14"/>
        <v/>
      </c>
      <c r="H93" s="112" t="str">
        <f t="shared" si="15"/>
        <v/>
      </c>
      <c r="I93" s="112" t="str">
        <f t="shared" si="16"/>
        <v/>
      </c>
      <c r="J93" s="109" t="str">
        <f t="shared" si="17"/>
        <v/>
      </c>
      <c r="K93" s="108" t="str">
        <f t="shared" si="20"/>
        <v/>
      </c>
      <c r="L93" s="42" t="str">
        <f t="shared" si="18"/>
        <v/>
      </c>
      <c r="M93" s="43" t="str">
        <f t="shared" si="19"/>
        <v/>
      </c>
      <c r="N93" s="101"/>
      <c r="O93" s="101"/>
      <c r="P93" s="101"/>
    </row>
    <row r="94" spans="1:16" s="44" customFormat="1" ht="21.75" customHeight="1">
      <c r="A94" s="109">
        <v>81</v>
      </c>
      <c r="B94" s="110"/>
      <c r="C94" s="111"/>
      <c r="D94" s="111"/>
      <c r="E94" s="111"/>
      <c r="F94" s="111"/>
      <c r="G94" s="111" t="str">
        <f t="shared" si="14"/>
        <v/>
      </c>
      <c r="H94" s="112" t="str">
        <f t="shared" si="15"/>
        <v/>
      </c>
      <c r="I94" s="112" t="str">
        <f t="shared" si="16"/>
        <v/>
      </c>
      <c r="J94" s="109" t="str">
        <f t="shared" si="17"/>
        <v/>
      </c>
      <c r="K94" s="108" t="str">
        <f t="shared" si="20"/>
        <v/>
      </c>
      <c r="L94" s="42" t="str">
        <f t="shared" si="18"/>
        <v/>
      </c>
      <c r="M94" s="43" t="str">
        <f t="shared" si="19"/>
        <v/>
      </c>
      <c r="N94" s="101"/>
      <c r="O94" s="101"/>
      <c r="P94" s="101"/>
    </row>
    <row r="95" spans="1:16" s="44" customFormat="1" ht="21.75" customHeight="1">
      <c r="A95" s="109">
        <v>82</v>
      </c>
      <c r="B95" s="110"/>
      <c r="C95" s="111"/>
      <c r="D95" s="111"/>
      <c r="E95" s="111"/>
      <c r="F95" s="111"/>
      <c r="G95" s="111" t="str">
        <f t="shared" si="14"/>
        <v/>
      </c>
      <c r="H95" s="112" t="str">
        <f t="shared" si="15"/>
        <v/>
      </c>
      <c r="I95" s="112" t="str">
        <f t="shared" si="16"/>
        <v/>
      </c>
      <c r="J95" s="109" t="str">
        <f t="shared" si="17"/>
        <v/>
      </c>
      <c r="K95" s="108" t="str">
        <f t="shared" si="20"/>
        <v/>
      </c>
      <c r="L95" s="42" t="str">
        <f t="shared" si="18"/>
        <v/>
      </c>
      <c r="M95" s="43" t="str">
        <f t="shared" si="19"/>
        <v/>
      </c>
      <c r="N95" s="101"/>
      <c r="O95" s="101"/>
      <c r="P95" s="101"/>
    </row>
    <row r="96" spans="1:16" s="44" customFormat="1" ht="21.75" customHeight="1">
      <c r="A96" s="109">
        <v>83</v>
      </c>
      <c r="B96" s="110"/>
      <c r="C96" s="111"/>
      <c r="D96" s="111"/>
      <c r="E96" s="111"/>
      <c r="F96" s="111"/>
      <c r="G96" s="111" t="str">
        <f t="shared" si="14"/>
        <v/>
      </c>
      <c r="H96" s="112" t="str">
        <f t="shared" si="15"/>
        <v/>
      </c>
      <c r="I96" s="112" t="str">
        <f t="shared" si="16"/>
        <v/>
      </c>
      <c r="J96" s="109" t="str">
        <f t="shared" si="17"/>
        <v/>
      </c>
      <c r="K96" s="108" t="str">
        <f t="shared" si="20"/>
        <v/>
      </c>
      <c r="L96" s="42" t="str">
        <f t="shared" si="18"/>
        <v/>
      </c>
      <c r="M96" s="43" t="str">
        <f t="shared" si="19"/>
        <v/>
      </c>
      <c r="N96" s="101"/>
      <c r="O96" s="101"/>
      <c r="P96" s="101"/>
    </row>
    <row r="97" spans="1:16" s="44" customFormat="1" ht="21.75" customHeight="1">
      <c r="A97" s="109">
        <v>84</v>
      </c>
      <c r="B97" s="110"/>
      <c r="C97" s="111"/>
      <c r="D97" s="111"/>
      <c r="E97" s="111"/>
      <c r="F97" s="111"/>
      <c r="G97" s="111" t="str">
        <f t="shared" si="14"/>
        <v/>
      </c>
      <c r="H97" s="112" t="str">
        <f t="shared" si="15"/>
        <v/>
      </c>
      <c r="I97" s="112" t="str">
        <f t="shared" si="16"/>
        <v/>
      </c>
      <c r="J97" s="109" t="str">
        <f t="shared" si="17"/>
        <v/>
      </c>
      <c r="K97" s="108" t="str">
        <f t="shared" si="20"/>
        <v/>
      </c>
      <c r="L97" s="42" t="str">
        <f t="shared" si="18"/>
        <v/>
      </c>
      <c r="M97" s="43" t="str">
        <f t="shared" si="19"/>
        <v/>
      </c>
      <c r="N97" s="101"/>
      <c r="O97" s="101"/>
      <c r="P97" s="101"/>
    </row>
    <row r="98" spans="1:16" s="44" customFormat="1" ht="21.75" customHeight="1">
      <c r="A98" s="109">
        <v>85</v>
      </c>
      <c r="B98" s="110"/>
      <c r="C98" s="111"/>
      <c r="D98" s="111"/>
      <c r="E98" s="111"/>
      <c r="F98" s="111"/>
      <c r="G98" s="111" t="str">
        <f t="shared" si="14"/>
        <v/>
      </c>
      <c r="H98" s="112" t="str">
        <f t="shared" si="15"/>
        <v/>
      </c>
      <c r="I98" s="112" t="str">
        <f t="shared" si="16"/>
        <v/>
      </c>
      <c r="J98" s="109" t="str">
        <f t="shared" si="17"/>
        <v/>
      </c>
      <c r="K98" s="108" t="str">
        <f t="shared" si="20"/>
        <v/>
      </c>
      <c r="L98" s="42" t="str">
        <f t="shared" si="18"/>
        <v/>
      </c>
      <c r="M98" s="43" t="str">
        <f t="shared" si="19"/>
        <v/>
      </c>
      <c r="N98" s="101"/>
      <c r="O98" s="101"/>
      <c r="P98" s="101"/>
    </row>
    <row r="99" spans="1:16" s="44" customFormat="1" ht="21.75" customHeight="1">
      <c r="A99" s="109">
        <v>86</v>
      </c>
      <c r="B99" s="110"/>
      <c r="C99" s="111"/>
      <c r="D99" s="111"/>
      <c r="E99" s="111"/>
      <c r="F99" s="111"/>
      <c r="G99" s="111" t="str">
        <f t="shared" si="14"/>
        <v/>
      </c>
      <c r="H99" s="112" t="str">
        <f t="shared" si="15"/>
        <v/>
      </c>
      <c r="I99" s="112" t="str">
        <f t="shared" si="16"/>
        <v/>
      </c>
      <c r="J99" s="109" t="str">
        <f t="shared" si="17"/>
        <v/>
      </c>
      <c r="K99" s="108" t="str">
        <f t="shared" si="20"/>
        <v/>
      </c>
      <c r="L99" s="42" t="str">
        <f t="shared" si="18"/>
        <v/>
      </c>
      <c r="M99" s="43" t="str">
        <f t="shared" si="19"/>
        <v/>
      </c>
      <c r="N99" s="101"/>
      <c r="O99" s="101"/>
      <c r="P99" s="101"/>
    </row>
    <row r="100" spans="1:16" s="44" customFormat="1" ht="21.75" customHeight="1">
      <c r="A100" s="109">
        <v>87</v>
      </c>
      <c r="B100" s="110"/>
      <c r="C100" s="111"/>
      <c r="D100" s="111"/>
      <c r="E100" s="111"/>
      <c r="F100" s="111"/>
      <c r="G100" s="111" t="str">
        <f t="shared" si="14"/>
        <v/>
      </c>
      <c r="H100" s="112" t="str">
        <f t="shared" si="15"/>
        <v/>
      </c>
      <c r="I100" s="112" t="str">
        <f t="shared" si="16"/>
        <v/>
      </c>
      <c r="J100" s="109" t="str">
        <f t="shared" si="17"/>
        <v/>
      </c>
      <c r="K100" s="108" t="str">
        <f t="shared" si="20"/>
        <v/>
      </c>
      <c r="L100" s="42" t="str">
        <f t="shared" si="18"/>
        <v/>
      </c>
      <c r="M100" s="43" t="str">
        <f t="shared" si="19"/>
        <v/>
      </c>
      <c r="N100" s="101"/>
      <c r="O100" s="101"/>
      <c r="P100" s="101"/>
    </row>
    <row r="101" spans="1:16" s="44" customFormat="1" ht="21.75" customHeight="1">
      <c r="A101" s="109">
        <v>88</v>
      </c>
      <c r="B101" s="110"/>
      <c r="C101" s="111"/>
      <c r="D101" s="111"/>
      <c r="E101" s="111"/>
      <c r="F101" s="111"/>
      <c r="G101" s="111" t="str">
        <f t="shared" si="14"/>
        <v/>
      </c>
      <c r="H101" s="112" t="str">
        <f t="shared" si="15"/>
        <v/>
      </c>
      <c r="I101" s="112" t="str">
        <f t="shared" si="16"/>
        <v/>
      </c>
      <c r="J101" s="109" t="str">
        <f t="shared" si="17"/>
        <v/>
      </c>
      <c r="K101" s="108" t="str">
        <f t="shared" si="20"/>
        <v/>
      </c>
      <c r="L101" s="42" t="str">
        <f t="shared" si="18"/>
        <v/>
      </c>
      <c r="M101" s="43" t="str">
        <f t="shared" si="19"/>
        <v/>
      </c>
      <c r="N101" s="101"/>
      <c r="O101" s="101"/>
      <c r="P101" s="101"/>
    </row>
    <row r="102" spans="1:16" s="44" customFormat="1" ht="21.75" customHeight="1">
      <c r="A102" s="109">
        <v>89</v>
      </c>
      <c r="B102" s="110"/>
      <c r="C102" s="111"/>
      <c r="D102" s="111"/>
      <c r="E102" s="111"/>
      <c r="F102" s="111"/>
      <c r="G102" s="111" t="str">
        <f t="shared" si="14"/>
        <v/>
      </c>
      <c r="H102" s="112" t="str">
        <f t="shared" si="15"/>
        <v/>
      </c>
      <c r="I102" s="112" t="str">
        <f t="shared" si="16"/>
        <v/>
      </c>
      <c r="J102" s="109" t="str">
        <f t="shared" si="17"/>
        <v/>
      </c>
      <c r="K102" s="108" t="str">
        <f t="shared" si="20"/>
        <v/>
      </c>
      <c r="L102" s="42" t="str">
        <f t="shared" si="18"/>
        <v/>
      </c>
      <c r="M102" s="43" t="str">
        <f t="shared" si="19"/>
        <v/>
      </c>
      <c r="N102" s="101"/>
      <c r="O102" s="101"/>
      <c r="P102" s="101"/>
    </row>
    <row r="103" spans="1:16" s="44" customFormat="1" ht="21.75" customHeight="1">
      <c r="A103" s="109">
        <v>90</v>
      </c>
      <c r="B103" s="110"/>
      <c r="C103" s="111"/>
      <c r="D103" s="111"/>
      <c r="E103" s="111"/>
      <c r="F103" s="111"/>
      <c r="G103" s="111" t="str">
        <f t="shared" si="14"/>
        <v/>
      </c>
      <c r="H103" s="112" t="str">
        <f t="shared" si="15"/>
        <v/>
      </c>
      <c r="I103" s="112" t="str">
        <f t="shared" si="16"/>
        <v/>
      </c>
      <c r="J103" s="109" t="str">
        <f t="shared" si="17"/>
        <v/>
      </c>
      <c r="K103" s="108" t="str">
        <f t="shared" si="20"/>
        <v/>
      </c>
      <c r="L103" s="42" t="str">
        <f t="shared" si="18"/>
        <v/>
      </c>
      <c r="M103" s="43" t="str">
        <f t="shared" si="19"/>
        <v/>
      </c>
      <c r="N103" s="101"/>
      <c r="O103" s="101"/>
      <c r="P103" s="101"/>
    </row>
    <row r="104" spans="1:16" s="44" customFormat="1" ht="21.75" customHeight="1">
      <c r="A104" s="109">
        <v>91</v>
      </c>
      <c r="B104" s="110"/>
      <c r="C104" s="111"/>
      <c r="D104" s="111"/>
      <c r="E104" s="111"/>
      <c r="F104" s="111"/>
      <c r="G104" s="111" t="str">
        <f t="shared" si="14"/>
        <v/>
      </c>
      <c r="H104" s="112" t="str">
        <f t="shared" si="15"/>
        <v/>
      </c>
      <c r="I104" s="112" t="str">
        <f t="shared" si="16"/>
        <v/>
      </c>
      <c r="J104" s="109" t="str">
        <f t="shared" si="17"/>
        <v/>
      </c>
      <c r="K104" s="108" t="str">
        <f t="shared" si="20"/>
        <v/>
      </c>
      <c r="L104" s="42" t="str">
        <f t="shared" si="18"/>
        <v/>
      </c>
      <c r="M104" s="43" t="str">
        <f t="shared" si="19"/>
        <v/>
      </c>
      <c r="N104" s="101"/>
      <c r="O104" s="101"/>
      <c r="P104" s="101"/>
    </row>
    <row r="105" spans="1:16" s="44" customFormat="1" ht="21.75" customHeight="1">
      <c r="A105" s="109">
        <v>92</v>
      </c>
      <c r="B105" s="110"/>
      <c r="C105" s="111"/>
      <c r="D105" s="111"/>
      <c r="E105" s="111"/>
      <c r="F105" s="111"/>
      <c r="G105" s="111" t="str">
        <f t="shared" si="14"/>
        <v/>
      </c>
      <c r="H105" s="112" t="str">
        <f t="shared" si="15"/>
        <v/>
      </c>
      <c r="I105" s="112" t="str">
        <f t="shared" si="16"/>
        <v/>
      </c>
      <c r="J105" s="109" t="str">
        <f t="shared" si="17"/>
        <v/>
      </c>
      <c r="K105" s="108" t="str">
        <f t="shared" si="20"/>
        <v/>
      </c>
      <c r="L105" s="42" t="str">
        <f t="shared" si="18"/>
        <v/>
      </c>
      <c r="M105" s="43" t="str">
        <f t="shared" si="19"/>
        <v/>
      </c>
      <c r="N105" s="101"/>
      <c r="O105" s="101"/>
      <c r="P105" s="101"/>
    </row>
    <row r="106" spans="1:16" s="44" customFormat="1" ht="21.75" customHeight="1">
      <c r="A106" s="109">
        <v>93</v>
      </c>
      <c r="B106" s="110"/>
      <c r="C106" s="111"/>
      <c r="D106" s="111"/>
      <c r="E106" s="111"/>
      <c r="F106" s="111"/>
      <c r="G106" s="111" t="str">
        <f t="shared" si="14"/>
        <v/>
      </c>
      <c r="H106" s="112" t="str">
        <f t="shared" si="15"/>
        <v/>
      </c>
      <c r="I106" s="112" t="str">
        <f t="shared" si="16"/>
        <v/>
      </c>
      <c r="J106" s="109" t="str">
        <f t="shared" si="17"/>
        <v/>
      </c>
      <c r="K106" s="108" t="str">
        <f t="shared" si="20"/>
        <v/>
      </c>
      <c r="L106" s="42" t="str">
        <f t="shared" si="18"/>
        <v/>
      </c>
      <c r="M106" s="43" t="str">
        <f t="shared" si="19"/>
        <v/>
      </c>
      <c r="N106" s="101"/>
      <c r="O106" s="101"/>
      <c r="P106" s="101"/>
    </row>
    <row r="107" spans="1:16" s="44" customFormat="1" ht="21.75" customHeight="1">
      <c r="A107" s="109">
        <v>94</v>
      </c>
      <c r="B107" s="110"/>
      <c r="C107" s="111"/>
      <c r="D107" s="111"/>
      <c r="E107" s="111"/>
      <c r="F107" s="111"/>
      <c r="G107" s="111" t="str">
        <f t="shared" si="14"/>
        <v/>
      </c>
      <c r="H107" s="112" t="str">
        <f t="shared" si="15"/>
        <v/>
      </c>
      <c r="I107" s="112" t="str">
        <f t="shared" si="16"/>
        <v/>
      </c>
      <c r="J107" s="109" t="str">
        <f t="shared" si="17"/>
        <v/>
      </c>
      <c r="K107" s="108" t="str">
        <f t="shared" si="20"/>
        <v/>
      </c>
      <c r="L107" s="42" t="str">
        <f t="shared" si="18"/>
        <v/>
      </c>
      <c r="M107" s="43" t="str">
        <f t="shared" si="19"/>
        <v/>
      </c>
      <c r="N107" s="101"/>
      <c r="O107" s="101"/>
      <c r="P107" s="101"/>
    </row>
    <row r="108" spans="1:16" s="44" customFormat="1" ht="21.75" customHeight="1">
      <c r="A108" s="109">
        <v>95</v>
      </c>
      <c r="B108" s="110"/>
      <c r="C108" s="111"/>
      <c r="D108" s="111"/>
      <c r="E108" s="111"/>
      <c r="F108" s="111"/>
      <c r="G108" s="111" t="str">
        <f t="shared" si="14"/>
        <v/>
      </c>
      <c r="H108" s="112" t="str">
        <f t="shared" si="15"/>
        <v/>
      </c>
      <c r="I108" s="112" t="str">
        <f t="shared" si="16"/>
        <v/>
      </c>
      <c r="J108" s="109" t="str">
        <f t="shared" si="17"/>
        <v/>
      </c>
      <c r="K108" s="108" t="str">
        <f t="shared" si="20"/>
        <v/>
      </c>
      <c r="L108" s="42" t="str">
        <f t="shared" si="18"/>
        <v/>
      </c>
      <c r="M108" s="43" t="str">
        <f t="shared" si="19"/>
        <v/>
      </c>
      <c r="N108" s="101"/>
      <c r="O108" s="101"/>
      <c r="P108" s="101"/>
    </row>
    <row r="109" spans="1:16" s="44" customFormat="1" ht="21.75" customHeight="1">
      <c r="A109" s="109">
        <v>96</v>
      </c>
      <c r="B109" s="110"/>
      <c r="C109" s="111"/>
      <c r="D109" s="111"/>
      <c r="E109" s="111"/>
      <c r="F109" s="111"/>
      <c r="G109" s="111" t="str">
        <f t="shared" si="14"/>
        <v/>
      </c>
      <c r="H109" s="112" t="str">
        <f t="shared" si="15"/>
        <v/>
      </c>
      <c r="I109" s="112" t="str">
        <f t="shared" si="16"/>
        <v/>
      </c>
      <c r="J109" s="109" t="str">
        <f t="shared" si="17"/>
        <v/>
      </c>
      <c r="K109" s="108" t="str">
        <f t="shared" si="20"/>
        <v/>
      </c>
      <c r="L109" s="42" t="str">
        <f t="shared" si="18"/>
        <v/>
      </c>
      <c r="M109" s="43" t="str">
        <f t="shared" si="19"/>
        <v/>
      </c>
      <c r="N109" s="101"/>
      <c r="O109" s="101"/>
      <c r="P109" s="101"/>
    </row>
    <row r="110" spans="1:16" s="44" customFormat="1" ht="21.75" customHeight="1">
      <c r="A110" s="109">
        <v>97</v>
      </c>
      <c r="B110" s="110"/>
      <c r="C110" s="111"/>
      <c r="D110" s="111"/>
      <c r="E110" s="111"/>
      <c r="F110" s="111"/>
      <c r="G110" s="111" t="str">
        <f t="shared" si="14"/>
        <v/>
      </c>
      <c r="H110" s="112" t="str">
        <f t="shared" si="15"/>
        <v/>
      </c>
      <c r="I110" s="112" t="str">
        <f t="shared" si="16"/>
        <v/>
      </c>
      <c r="J110" s="109" t="str">
        <f t="shared" si="17"/>
        <v/>
      </c>
      <c r="K110" s="108" t="str">
        <f t="shared" si="20"/>
        <v/>
      </c>
      <c r="L110" s="42" t="str">
        <f t="shared" si="18"/>
        <v/>
      </c>
      <c r="M110" s="43" t="str">
        <f t="shared" si="19"/>
        <v/>
      </c>
      <c r="N110" s="101"/>
      <c r="O110" s="101"/>
      <c r="P110" s="101"/>
    </row>
    <row r="111" spans="1:16" s="44" customFormat="1" ht="21.75" customHeight="1">
      <c r="A111" s="109">
        <v>98</v>
      </c>
      <c r="B111" s="110"/>
      <c r="C111" s="111"/>
      <c r="D111" s="111"/>
      <c r="E111" s="111"/>
      <c r="F111" s="111"/>
      <c r="G111" s="111" t="str">
        <f t="shared" si="14"/>
        <v/>
      </c>
      <c r="H111" s="112" t="str">
        <f t="shared" si="15"/>
        <v/>
      </c>
      <c r="I111" s="112" t="str">
        <f t="shared" si="16"/>
        <v/>
      </c>
      <c r="J111" s="109" t="str">
        <f t="shared" si="17"/>
        <v/>
      </c>
      <c r="K111" s="108" t="str">
        <f t="shared" si="20"/>
        <v/>
      </c>
      <c r="L111" s="42" t="str">
        <f t="shared" si="18"/>
        <v/>
      </c>
      <c r="M111" s="43" t="str">
        <f t="shared" si="19"/>
        <v/>
      </c>
      <c r="N111" s="101"/>
      <c r="O111" s="101"/>
      <c r="P111" s="101"/>
    </row>
    <row r="112" spans="1:16" s="44" customFormat="1" ht="21.75" customHeight="1">
      <c r="A112" s="109">
        <v>99</v>
      </c>
      <c r="B112" s="110"/>
      <c r="C112" s="111"/>
      <c r="D112" s="111"/>
      <c r="E112" s="111"/>
      <c r="F112" s="111"/>
      <c r="G112" s="111" t="str">
        <f t="shared" si="14"/>
        <v/>
      </c>
      <c r="H112" s="112" t="str">
        <f t="shared" si="15"/>
        <v/>
      </c>
      <c r="I112" s="112" t="str">
        <f t="shared" si="16"/>
        <v/>
      </c>
      <c r="J112" s="109" t="str">
        <f t="shared" si="17"/>
        <v/>
      </c>
      <c r="K112" s="108" t="str">
        <f t="shared" si="20"/>
        <v/>
      </c>
      <c r="L112" s="42" t="str">
        <f t="shared" si="18"/>
        <v/>
      </c>
      <c r="M112" s="43" t="str">
        <f t="shared" si="19"/>
        <v/>
      </c>
      <c r="N112" s="101"/>
      <c r="O112" s="101"/>
      <c r="P112" s="101"/>
    </row>
    <row r="113" spans="1:16" s="44" customFormat="1" ht="21.75" customHeight="1">
      <c r="A113" s="109">
        <v>100</v>
      </c>
      <c r="B113" s="110"/>
      <c r="C113" s="111"/>
      <c r="D113" s="111"/>
      <c r="E113" s="111"/>
      <c r="F113" s="111"/>
      <c r="G113" s="111" t="str">
        <f t="shared" si="14"/>
        <v/>
      </c>
      <c r="H113" s="112" t="str">
        <f t="shared" si="15"/>
        <v/>
      </c>
      <c r="I113" s="112" t="str">
        <f t="shared" si="16"/>
        <v/>
      </c>
      <c r="J113" s="109" t="str">
        <f t="shared" si="17"/>
        <v/>
      </c>
      <c r="K113" s="108" t="str">
        <f t="shared" si="20"/>
        <v/>
      </c>
      <c r="L113" s="42" t="str">
        <f t="shared" si="18"/>
        <v/>
      </c>
      <c r="M113" s="43" t="str">
        <f t="shared" si="19"/>
        <v/>
      </c>
      <c r="N113" s="101"/>
      <c r="O113" s="101"/>
      <c r="P113" s="101"/>
    </row>
    <row r="114" spans="1:16" s="44" customFormat="1" ht="15" hidden="1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</row>
    <row r="115" spans="1:16" s="44" customFormat="1" ht="15" hidden="1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</row>
    <row r="116" spans="1:16" s="44" customFormat="1" ht="15" customHeight="1">
      <c r="A116" s="130" t="s">
        <v>58</v>
      </c>
      <c r="B116" s="130"/>
      <c r="C116" s="130"/>
      <c r="D116" s="130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</row>
    <row r="117" spans="1:16" s="44" customFormat="1" ht="15" customHeight="1">
      <c r="A117" s="113" t="s">
        <v>3</v>
      </c>
      <c r="B117" s="113" t="s">
        <v>4</v>
      </c>
      <c r="C117" s="113">
        <v>5</v>
      </c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</row>
    <row r="118" spans="1:16" s="44" customFormat="1" ht="15" customHeight="1">
      <c r="A118" s="113" t="s">
        <v>6</v>
      </c>
      <c r="B118" s="113" t="s">
        <v>7</v>
      </c>
      <c r="C118" s="113">
        <v>4</v>
      </c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</row>
    <row r="119" spans="1:16" s="44" customFormat="1" ht="15" customHeight="1">
      <c r="A119" s="113" t="s">
        <v>59</v>
      </c>
      <c r="B119" s="113" t="s">
        <v>9</v>
      </c>
      <c r="C119" s="113">
        <v>3.5</v>
      </c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</row>
    <row r="120" spans="1:16" s="44" customFormat="1" ht="15" customHeight="1">
      <c r="A120" s="113" t="s">
        <v>60</v>
      </c>
      <c r="B120" s="113" t="s">
        <v>11</v>
      </c>
      <c r="C120" s="113">
        <v>3</v>
      </c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</row>
    <row r="121" spans="1:16" s="44" customFormat="1" ht="15" customHeight="1">
      <c r="A121" s="113" t="s">
        <v>61</v>
      </c>
      <c r="B121" s="113" t="s">
        <v>13</v>
      </c>
      <c r="C121" s="113">
        <v>2</v>
      </c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</row>
    <row r="122" spans="1:16" s="44" customFormat="1" ht="15" customHeight="1">
      <c r="A122" s="113" t="s">
        <v>62</v>
      </c>
      <c r="B122" s="113" t="s">
        <v>15</v>
      </c>
      <c r="C122" s="113">
        <v>1</v>
      </c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</row>
    <row r="123" spans="1:16" s="44" customFormat="1" ht="15" customHeight="1">
      <c r="A123" s="113" t="s">
        <v>17</v>
      </c>
      <c r="B123" s="113" t="s">
        <v>18</v>
      </c>
      <c r="C123" s="113">
        <v>0</v>
      </c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</row>
    <row r="124" spans="1:16" s="44" customFormat="1" ht="15" customHeight="1">
      <c r="A124" s="118" t="s">
        <v>95</v>
      </c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01"/>
      <c r="M124" s="101"/>
      <c r="N124" s="101"/>
      <c r="O124" s="101"/>
      <c r="P124" s="101"/>
    </row>
    <row r="125" spans="1:16" s="26" customFormat="1" ht="1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</row>
  </sheetData>
  <mergeCells count="8">
    <mergeCell ref="A116:D116"/>
    <mergeCell ref="A124:K124"/>
    <mergeCell ref="I1:K1"/>
    <mergeCell ref="I4:K4"/>
    <mergeCell ref="B6:H7"/>
    <mergeCell ref="A10:B11"/>
    <mergeCell ref="D10:F11"/>
    <mergeCell ref="G10:G11"/>
  </mergeCells>
  <conditionalFormatting sqref="M14:M113">
    <cfRule type="cellIs" dxfId="5" priority="2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GridLines="0" zoomScaleNormal="100" workbookViewId="0">
      <selection activeCell="E10" sqref="E10"/>
    </sheetView>
  </sheetViews>
  <sheetFormatPr defaultColWidth="8.7109375" defaultRowHeight="15" customHeight="1"/>
  <cols>
    <col min="1" max="1" width="14" style="1" customWidth="1"/>
    <col min="2" max="2" width="12" style="1" customWidth="1"/>
    <col min="3" max="4" width="14" style="1" customWidth="1"/>
    <col min="5" max="5" width="12" style="1" customWidth="1"/>
  </cols>
  <sheetData>
    <row r="1" spans="1:5" ht="17.25" customHeight="1">
      <c r="A1" s="115" t="s">
        <v>175</v>
      </c>
      <c r="B1" s="115"/>
      <c r="C1" s="115"/>
      <c r="D1" s="115"/>
      <c r="E1" s="115"/>
    </row>
    <row r="2" spans="1:5" ht="15" customHeight="1">
      <c r="A2" s="115" t="s">
        <v>176</v>
      </c>
      <c r="B2" s="115" t="s">
        <v>177</v>
      </c>
      <c r="C2" s="115" t="s">
        <v>178</v>
      </c>
      <c r="D2" s="115" t="s">
        <v>179</v>
      </c>
      <c r="E2" s="115" t="s">
        <v>180</v>
      </c>
    </row>
    <row r="3" spans="1:5" ht="16.5" customHeight="1">
      <c r="A3" s="116" t="s">
        <v>181</v>
      </c>
      <c r="B3" s="116">
        <v>95</v>
      </c>
      <c r="C3" s="116" t="s">
        <v>182</v>
      </c>
      <c r="D3" s="116" t="str">
        <f>IF(1+SUMPRODUCT(($B$3:$B$7&gt;B3)/COUNTIF($B$3:$B$7,$B$3:$B$7))=1,"1ম",IF(1+SUMPRODUCT(($B$3:$B$7&gt;B3)/COUNTIF($B$3:$B$7,$B$3:$B$7))=2,"2য়",IF(1+SUMPRODUCT(($B$3:$B$7&gt;B3)/COUNTIF($B$3:$B$7,$B$3:$B$7))=3,"3য়",1+SUMPRODUCT(($B$3:$B$7&gt;B3)/COUNTIF($B$3:$B$7,$B$3:$B$7)))))</f>
        <v>1ম</v>
      </c>
      <c r="E3" s="116" t="str">
        <f>IF(C3=D3,"PASS","FAIL")</f>
        <v>PASS</v>
      </c>
    </row>
    <row r="4" spans="1:5" ht="16.5" customHeight="1">
      <c r="A4" s="116"/>
      <c r="B4" s="116">
        <v>90</v>
      </c>
      <c r="C4" s="116" t="s">
        <v>183</v>
      </c>
      <c r="D4" s="116" t="str">
        <f>IF(1+SUMPRODUCT(($B$3:$B$7&gt;B4)/COUNTIF($B$3:$B$7,$B$3:$B$7))=1,"1ম",IF(1+SUMPRODUCT(($B$3:$B$7&gt;B4)/COUNTIF($B$3:$B$7,$B$3:$B$7))=2,"2য়",IF(1+SUMPRODUCT(($B$3:$B$7&gt;B4)/COUNTIF($B$3:$B$7,$B$3:$B$7))=3,"3য়",1+SUMPRODUCT(($B$3:$B$7&gt;B4)/COUNTIF($B$3:$B$7,$B$3:$B$7)))))</f>
        <v>2য়</v>
      </c>
      <c r="E4" s="116" t="str">
        <f>IF(C4=D4,"PASS","FAIL")</f>
        <v>PASS</v>
      </c>
    </row>
    <row r="5" spans="1:5" ht="16.5" customHeight="1">
      <c r="A5" s="116"/>
      <c r="B5" s="116">
        <v>80</v>
      </c>
      <c r="C5" s="116" t="s">
        <v>184</v>
      </c>
      <c r="D5" s="116" t="str">
        <f>IF(1+SUMPRODUCT(($B$3:$B$7&gt;B5)/COUNTIF($B$3:$B$7,$B$3:$B$7))=1,"1ম",IF(1+SUMPRODUCT(($B$3:$B$7&gt;B5)/COUNTIF($B$3:$B$7,$B$3:$B$7))=2,"2য়",IF(1+SUMPRODUCT(($B$3:$B$7&gt;B5)/COUNTIF($B$3:$B$7,$B$3:$B$7))=3,"3য়",1+SUMPRODUCT(($B$3:$B$7&gt;B5)/COUNTIF($B$3:$B$7,$B$3:$B$7)))))</f>
        <v>3য়</v>
      </c>
      <c r="E5" s="116" t="str">
        <f>IF(C5=D5,"PASS","FAIL")</f>
        <v>PASS</v>
      </c>
    </row>
    <row r="6" spans="1:5" ht="15" customHeight="1">
      <c r="A6" s="116"/>
      <c r="B6" s="116">
        <v>70</v>
      </c>
      <c r="C6" s="116">
        <v>4</v>
      </c>
      <c r="D6" s="116">
        <f>IF(1+SUMPRODUCT(($B$3:$B$7&gt;B6)/COUNTIF($B$3:$B$7,$B$3:$B$7))=1,"1ম",IF(1+SUMPRODUCT(($B$3:$B$7&gt;B6)/COUNTIF($B$3:$B$7,$B$3:$B$7))=2,"2য়",IF(1+SUMPRODUCT(($B$3:$B$7&gt;B6)/COUNTIF($B$3:$B$7,$B$3:$B$7))=3,"3য়",1+SUMPRODUCT(($B$3:$B$7&gt;B6)/COUNTIF($B$3:$B$7,$B$3:$B$7)))))</f>
        <v>4</v>
      </c>
      <c r="E6" s="116" t="str">
        <f>IF(C6=D6,"PASS","FAIL")</f>
        <v>PASS</v>
      </c>
    </row>
    <row r="7" spans="1:5" ht="15" customHeight="1">
      <c r="A7" s="116"/>
      <c r="B7" s="116">
        <v>60</v>
      </c>
      <c r="C7" s="116">
        <v>5</v>
      </c>
      <c r="D7" s="116">
        <f>IF(1+SUMPRODUCT(($B$3:$B$7&gt;B7)/COUNTIF($B$3:$B$7,$B$3:$B$7))=1,"1ম",IF(1+SUMPRODUCT(($B$3:$B$7&gt;B7)/COUNTIF($B$3:$B$7,$B$3:$B$7))=2,"2য়",IF(1+SUMPRODUCT(($B$3:$B$7&gt;B7)/COUNTIF($B$3:$B$7,$B$3:$B$7))=3,"3য়",1+SUMPRODUCT(($B$3:$B$7&gt;B7)/COUNTIF($B$3:$B$7,$B$3:$B$7)))))</f>
        <v>5</v>
      </c>
      <c r="E7" s="116" t="str">
        <f>IF(C7=D7,"PASS","FAIL")</f>
        <v>PASS</v>
      </c>
    </row>
    <row r="8" spans="1:5" ht="15" customHeight="1">
      <c r="A8" s="116"/>
      <c r="B8" s="116"/>
      <c r="C8" s="116"/>
      <c r="D8" s="116"/>
      <c r="E8" s="116"/>
    </row>
    <row r="9" spans="1:5" ht="15" customHeight="1">
      <c r="A9" s="116"/>
      <c r="B9" s="116"/>
      <c r="C9" s="116"/>
      <c r="D9" s="116"/>
      <c r="E9" s="116"/>
    </row>
    <row r="10" spans="1:5" ht="16.5" customHeight="1">
      <c r="A10" s="116" t="s">
        <v>185</v>
      </c>
      <c r="B10" s="116">
        <v>95</v>
      </c>
      <c r="C10" s="116" t="s">
        <v>182</v>
      </c>
      <c r="D10" s="116" t="str">
        <f>IF(1+SUMPRODUCT(($B$10:$B$14&gt;B10)/COUNTIF($B$10:$B$14,$B$10:$B$14))=1,"1ম",IF(1+SUMPRODUCT(($B$10:$B$14&gt;B10)/COUNTIF($B$10:$B$14,$B$10:$B$14))=2,"2য়",IF(1+SUMPRODUCT(($B$10:$B$14&gt;B10)/COUNTIF($B$10:$B$14,$B$10:$B$14))=3,"3য়",1+SUMPRODUCT(($B$10:$B$14&gt;B10)/COUNTIF($B$10:$B$14,$B$10:$B$14)))))</f>
        <v>1ম</v>
      </c>
      <c r="E10" s="116" t="str">
        <f>IF(C10=D10,"PASS","FAIL")</f>
        <v>PASS</v>
      </c>
    </row>
    <row r="11" spans="1:5" ht="16.5" customHeight="1">
      <c r="A11" s="116"/>
      <c r="B11" s="116">
        <v>90</v>
      </c>
      <c r="C11" s="116" t="s">
        <v>183</v>
      </c>
      <c r="D11" s="116" t="str">
        <f>IF(1+SUMPRODUCT(($B$10:$B$14&gt;B11)/COUNTIF($B$10:$B$14,$B$10:$B$14))=1,"1ম",IF(1+SUMPRODUCT(($B$10:$B$14&gt;B11)/COUNTIF($B$10:$B$14,$B$10:$B$14))=2,"2য়",IF(1+SUMPRODUCT(($B$10:$B$14&gt;B11)/COUNTIF($B$10:$B$14,$B$10:$B$14))=3,"3য়",1+SUMPRODUCT(($B$10:$B$14&gt;B11)/COUNTIF($B$10:$B$14,$B$10:$B$14)))))</f>
        <v>2য়</v>
      </c>
      <c r="E11" s="116" t="str">
        <f>IF(C11=D11,"PASS","FAIL")</f>
        <v>PASS</v>
      </c>
    </row>
    <row r="12" spans="1:5" ht="16.5" customHeight="1">
      <c r="A12" s="116"/>
      <c r="B12" s="116">
        <v>90</v>
      </c>
      <c r="C12" s="116" t="s">
        <v>183</v>
      </c>
      <c r="D12" s="116" t="str">
        <f>IF(1+SUMPRODUCT(($B$10:$B$14&gt;B12)/COUNTIF($B$10:$B$14,$B$10:$B$14))=1,"1ম",IF(1+SUMPRODUCT(($B$10:$B$14&gt;B12)/COUNTIF($B$10:$B$14,$B$10:$B$14))=2,"2য়",IF(1+SUMPRODUCT(($B$10:$B$14&gt;B12)/COUNTIF($B$10:$B$14,$B$10:$B$14))=3,"3য়",1+SUMPRODUCT(($B$10:$B$14&gt;B12)/COUNTIF($B$10:$B$14,$B$10:$B$14)))))</f>
        <v>2য়</v>
      </c>
      <c r="E12" s="116" t="str">
        <f>IF(C12=D12,"PASS","FAIL")</f>
        <v>PASS</v>
      </c>
    </row>
    <row r="13" spans="1:5" ht="15" customHeight="1">
      <c r="A13" s="116"/>
      <c r="B13" s="116">
        <v>85</v>
      </c>
      <c r="C13" s="116" t="s">
        <v>184</v>
      </c>
      <c r="D13" s="116" t="str">
        <f>IF(1+SUMPRODUCT(($B$10:$B$14&gt;B13)/COUNTIF($B$10:$B$14,$B$10:$B$14))=1,"1ম",IF(1+SUMPRODUCT(($B$10:$B$14&gt;B13)/COUNTIF($B$10:$B$14,$B$10:$B$14))=2,"2য়",IF(1+SUMPRODUCT(($B$10:$B$14&gt;B13)/COUNTIF($B$10:$B$14,$B$10:$B$14))=3,"3য়",1+SUMPRODUCT(($B$10:$B$14&gt;B13)/COUNTIF($B$10:$B$14,$B$10:$B$14)))))</f>
        <v>3য়</v>
      </c>
      <c r="E13" s="116" t="str">
        <f>IF(C13=D13,"PASS","FAIL")</f>
        <v>PASS</v>
      </c>
    </row>
    <row r="14" spans="1:5" ht="15" customHeight="1">
      <c r="A14" s="116"/>
      <c r="B14" s="116">
        <v>80</v>
      </c>
      <c r="C14" s="116">
        <v>4</v>
      </c>
      <c r="D14" s="116">
        <f>IF(1+SUMPRODUCT(($B$10:$B$14&gt;B14)/COUNTIF($B$10:$B$14,$B$10:$B$14))=1,"1ম",IF(1+SUMPRODUCT(($B$10:$B$14&gt;B14)/COUNTIF($B$10:$B$14,$B$10:$B$14))=2,"2য়",IF(1+SUMPRODUCT(($B$10:$B$14&gt;B14)/COUNTIF($B$10:$B$14,$B$10:$B$14))=3,"3য়",1+SUMPRODUCT(($B$10:$B$14&gt;B14)/COUNTIF($B$10:$B$14,$B$10:$B$14)))))</f>
        <v>4</v>
      </c>
      <c r="E14" s="116" t="str">
        <f>IF(C14=D14,"PASS","FAIL")</f>
        <v>PASS</v>
      </c>
    </row>
    <row r="15" spans="1:5" ht="15" customHeight="1">
      <c r="A15" s="116"/>
      <c r="B15" s="116"/>
      <c r="C15" s="116"/>
      <c r="D15" s="116"/>
      <c r="E15" s="116"/>
    </row>
    <row r="16" spans="1:5" ht="15" customHeight="1">
      <c r="A16" s="116"/>
      <c r="B16" s="116"/>
      <c r="C16" s="116"/>
      <c r="D16" s="116"/>
      <c r="E16" s="116"/>
    </row>
    <row r="17" spans="1:5" ht="16.5" customHeight="1">
      <c r="A17" s="116" t="s">
        <v>186</v>
      </c>
      <c r="B17" s="116">
        <v>95</v>
      </c>
      <c r="C17" s="116" t="s">
        <v>182</v>
      </c>
      <c r="D17" s="116" t="str">
        <f t="shared" ref="D17:D22" si="0">IF(1+SUMPRODUCT(($B$17:$B$22&gt;B17)/COUNTIF($B$17:$B$22,$B$17:$B$22))=1,"1ম",IF(1+SUMPRODUCT(($B$17:$B$22&gt;B17)/COUNTIF($B$17:$B$22,$B$17:$B$22))=2,"2য়",IF(1+SUMPRODUCT(($B$17:$B$22&gt;B17)/COUNTIF($B$17:$B$22,$B$17:$B$22))=3,"3য়",1+SUMPRODUCT(($B$17:$B$22&gt;B17)/COUNTIF($B$17:$B$22,$B$17:$B$22)))))</f>
        <v>1ম</v>
      </c>
      <c r="E17" s="116" t="str">
        <f t="shared" ref="E17:E22" si="1">IF(C17=D17,"PASS","FAIL")</f>
        <v>PASS</v>
      </c>
    </row>
    <row r="18" spans="1:5" ht="16.5" customHeight="1">
      <c r="A18" s="116"/>
      <c r="B18" s="116">
        <v>95</v>
      </c>
      <c r="C18" s="116" t="s">
        <v>182</v>
      </c>
      <c r="D18" s="116" t="str">
        <f t="shared" si="0"/>
        <v>1ম</v>
      </c>
      <c r="E18" s="116" t="str">
        <f t="shared" si="1"/>
        <v>PASS</v>
      </c>
    </row>
    <row r="19" spans="1:5" ht="16.5" customHeight="1">
      <c r="A19" s="116"/>
      <c r="B19" s="116">
        <v>90</v>
      </c>
      <c r="C19" s="116" t="s">
        <v>183</v>
      </c>
      <c r="D19" s="116" t="str">
        <f t="shared" si="0"/>
        <v>2য়</v>
      </c>
      <c r="E19" s="116" t="str">
        <f t="shared" si="1"/>
        <v>PASS</v>
      </c>
    </row>
    <row r="20" spans="1:5" ht="15" customHeight="1">
      <c r="A20" s="116"/>
      <c r="B20" s="116">
        <v>85</v>
      </c>
      <c r="C20" s="116" t="s">
        <v>184</v>
      </c>
      <c r="D20" s="116" t="str">
        <f t="shared" si="0"/>
        <v>3য়</v>
      </c>
      <c r="E20" s="116" t="str">
        <f t="shared" si="1"/>
        <v>PASS</v>
      </c>
    </row>
    <row r="21" spans="1:5" ht="15" customHeight="1">
      <c r="A21" s="116"/>
      <c r="B21" s="116">
        <v>85</v>
      </c>
      <c r="C21" s="116" t="s">
        <v>184</v>
      </c>
      <c r="D21" s="116" t="str">
        <f t="shared" si="0"/>
        <v>3য়</v>
      </c>
      <c r="E21" s="116" t="str">
        <f t="shared" si="1"/>
        <v>PASS</v>
      </c>
    </row>
    <row r="22" spans="1:5" ht="15" customHeight="1">
      <c r="A22" s="116"/>
      <c r="B22" s="116">
        <v>80</v>
      </c>
      <c r="C22" s="116">
        <v>4</v>
      </c>
      <c r="D22" s="116">
        <f t="shared" si="0"/>
        <v>4</v>
      </c>
      <c r="E22" s="116" t="str">
        <f t="shared" si="1"/>
        <v>PASS</v>
      </c>
    </row>
    <row r="23" spans="1:5" ht="15" customHeight="1">
      <c r="A23" s="116"/>
      <c r="B23" s="116"/>
      <c r="C23" s="116"/>
      <c r="D23" s="116"/>
      <c r="E23" s="116"/>
    </row>
    <row r="24" spans="1:5" ht="15" customHeight="1">
      <c r="A24" s="116"/>
      <c r="B24" s="116"/>
      <c r="C24" s="116"/>
      <c r="D24" s="116"/>
      <c r="E24" s="116"/>
    </row>
    <row r="25" spans="1:5" ht="15" customHeight="1">
      <c r="A25" s="116"/>
      <c r="B25" s="116"/>
      <c r="C25" s="116"/>
      <c r="D25" s="116"/>
      <c r="E25" s="11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Class-1</vt:lpstr>
      <vt:lpstr>Class-2</vt:lpstr>
      <vt:lpstr>Class-3</vt:lpstr>
      <vt:lpstr>Class-4</vt:lpstr>
      <vt:lpstr>Class-5</vt:lpstr>
      <vt:lpstr>Class-6</vt:lpstr>
      <vt:lpstr>Narsari</vt:lpstr>
      <vt:lpstr>Hifz</vt:lpstr>
      <vt:lpstr>Formula_Test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2026-09-03T14:09:24Z</cp:lastPrinted>
  <dcterms:created xsi:type="dcterms:W3CDTF">2026-09-02T08:07:27Z</dcterms:created>
  <dcterms:modified xsi:type="dcterms:W3CDTF">2026-09-03T14:21:56Z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2026-08-19T04:44:56Z</dcterms:created>
  <dc:creator>user</dc:creator>
  <dc:description/>
  <dc:language>en-US</dc:language>
  <cp:lastModifiedBy>user</cp:lastModifiedBy>
  <cp:lastPrinted>2026-09-01T15:55:17Z</cp:lastPrinted>
  <dcterms:modified xsi:type="dcterms:W3CDTF">2026-09-02T00:20:41Z</dcterms:modified>
  <cp:revision>0</cp:revision>
  <dc:subject/>
  <dc:title/>
</cp:coreProperties>
</file>